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шборд" state="visible" r:id="rId4"/>
    <sheet sheetId="2" name="Прайс" state="visible" r:id="rId5"/>
    <sheet sheetId="3" name="Источники" state="visible" r:id="rId6"/>
  </sheets>
  <calcPr calcId="171027"/>
</workbook>
</file>

<file path=xl/sharedStrings.xml><?xml version="1.0" encoding="utf-8"?>
<sst xmlns="http://schemas.openxmlformats.org/spreadsheetml/2006/main" count="239" uniqueCount="117">
  <si>
    <t>БУ-запчасти Lada Largus (универсал, 1.6 K4M)</t>
  </si>
  <si>
    <t>Считается автоматически с листа «Прайс». Сентябрь 2026.</t>
  </si>
  <si>
    <t>Позиций в таблице</t>
  </si>
  <si>
    <t>Категорий</t>
  </si>
  <si>
    <t>Позиций с ценой</t>
  </si>
  <si>
    <t>По категориям</t>
  </si>
  <si>
    <t>Категория</t>
  </si>
  <si>
    <t>Позиций</t>
  </si>
  <si>
    <t>Ср. мин, руб</t>
  </si>
  <si>
    <t>Ср. макс, руб</t>
  </si>
  <si>
    <t>Ср. цена, руб</t>
  </si>
  <si>
    <t>Диапазон</t>
  </si>
  <si>
    <t>Двигатель</t>
  </si>
  <si>
    <t>Трансмиссия и привод</t>
  </si>
  <si>
    <t>Подвеска и рулевое</t>
  </si>
  <si>
    <t>Тормоза</t>
  </si>
  <si>
    <t>Кузов и оптика</t>
  </si>
  <si>
    <t>Электрика</t>
  </si>
  <si>
    <t>Салон</t>
  </si>
  <si>
    <t>Как читать таблицу</t>
  </si>
  <si>
    <t>• Цены — диапазон реальных предложений б/у; итог зависит от состояния и региона.</t>
  </si>
  <si>
    <t>• «—» в колонке цены: публичная цена не подтверждена — уточняется у разборки.</t>
  </si>
  <si>
    <t>Источник: XBaz, База Дром, Авито.</t>
  </si>
  <si>
    <t>№</t>
  </si>
  <si>
    <t>Деталь</t>
  </si>
  <si>
    <t>Артикул / ориентир</t>
  </si>
  <si>
    <t>Цена мин, руб</t>
  </si>
  <si>
    <t>Цена макс, руб</t>
  </si>
  <si>
    <t>Примечание</t>
  </si>
  <si>
    <t>Лучшая цена, руб</t>
  </si>
  <si>
    <t>Avito</t>
  </si>
  <si>
    <t>Дром</t>
  </si>
  <si>
    <t>Двигатель в сборе (контракт K4M)</t>
  </si>
  <si>
    <t>7701474702</t>
  </si>
  <si>
    <t>XBaz (Испания); Дром СПб 90 т₽</t>
  </si>
  <si>
    <t>ГБЦ в сборе</t>
  </si>
  <si>
    <t>770060552F</t>
  </si>
  <si>
    <t>XBaz: 50 т₽ (Автопорт), шлифованная 62 т₽</t>
  </si>
  <si>
    <t>Стартер</t>
  </si>
  <si>
    <t>8200266777A</t>
  </si>
  <si>
    <t>XBaz</t>
  </si>
  <si>
    <t>Генератор (Bosch 90А)</t>
  </si>
  <si>
    <t>231006005R</t>
  </si>
  <si>
    <t>XBaz, дефект диодного моста</t>
  </si>
  <si>
    <t>Катушка зажигания (комплект)</t>
  </si>
  <si>
    <t>8200765882</t>
  </si>
  <si>
    <t>Радиатор охлаждения</t>
  </si>
  <si>
    <t>214102917R</t>
  </si>
  <si>
    <t>Корпус термостата</t>
  </si>
  <si>
    <t>7700600514</t>
  </si>
  <si>
    <t>Катализатор / катколлектор</t>
  </si>
  <si>
    <t>11189120300810</t>
  </si>
  <si>
    <t>XBaz/Новосибирск</t>
  </si>
  <si>
    <t>МКПП (JR5)</t>
  </si>
  <si>
    <t>8450020124</t>
  </si>
  <si>
    <t>Комплект сцепления</t>
  </si>
  <si>
    <t>302050453R</t>
  </si>
  <si>
    <t>XBaz б/у; новый Valeo 8,5–9,5 т₽</t>
  </si>
  <si>
    <t>Привод / полуось</t>
  </si>
  <si>
    <t/>
  </si>
  <si>
    <t>Рычаг передний нижний</t>
  </si>
  <si>
    <t>545011362R</t>
  </si>
  <si>
    <t>Амортизатор задний</t>
  </si>
  <si>
    <t>8200779901</t>
  </si>
  <si>
    <t>Насос ГУР</t>
  </si>
  <si>
    <t>491100699R</t>
  </si>
  <si>
    <t>Рулевая рейка</t>
  </si>
  <si>
    <t>490013367R</t>
  </si>
  <si>
    <t>Суппорт передний</t>
  </si>
  <si>
    <t>7701207958</t>
  </si>
  <si>
    <t>Диск тормозной передний</t>
  </si>
  <si>
    <t>ГТЦ</t>
  </si>
  <si>
    <t>6001551028</t>
  </si>
  <si>
    <t>Вакуумный усилитель</t>
  </si>
  <si>
    <t>Фара передняя</t>
  </si>
  <si>
    <t>8200744753</t>
  </si>
  <si>
    <t>XBaz: дефектная от 700₽, оригинал 13 т₽</t>
  </si>
  <si>
    <t>Фонарь задний</t>
  </si>
  <si>
    <t>8200864610</t>
  </si>
  <si>
    <t>XBaz; новый неориг. DEPO 2,8 т₽</t>
  </si>
  <si>
    <t>Капот</t>
  </si>
  <si>
    <t>8450013078</t>
  </si>
  <si>
    <t>XBaz, с вмятиной</t>
  </si>
  <si>
    <t>Крыло переднее</t>
  </si>
  <si>
    <t>Бампер передний</t>
  </si>
  <si>
    <t>8450000245</t>
  </si>
  <si>
    <t>XBaz; задний 3 т₽</t>
  </si>
  <si>
    <t>Дверь задняя</t>
  </si>
  <si>
    <t>821017307R</t>
  </si>
  <si>
    <t>Дверь задка (багажник)</t>
  </si>
  <si>
    <t>901015964R</t>
  </si>
  <si>
    <t>ЭБУ (Logan K7J)</t>
  </si>
  <si>
    <t>8200856659</t>
  </si>
  <si>
    <t>Мотор стеклоподъёмника</t>
  </si>
  <si>
    <t>8200901099</t>
  </si>
  <si>
    <t>Мотор печки</t>
  </si>
  <si>
    <t>272106020R</t>
  </si>
  <si>
    <t>Сиденье переднее</t>
  </si>
  <si>
    <t>XBaz: дефектное от 2 т₽, с подогревом до 12 т₽</t>
  </si>
  <si>
    <t>Сиденье заднее (диван)</t>
  </si>
  <si>
    <t>8450105506</t>
  </si>
  <si>
    <t>Источники</t>
  </si>
  <si>
    <t>Площадка</t>
  </si>
  <si>
    <t>Что искать</t>
  </si>
  <si>
    <t>Тип</t>
  </si>
  <si>
    <t>XBaz (xbaz.ru)</t>
  </si>
  <si>
    <t>Любые бу-запчасти</t>
  </si>
  <si>
    <t>Агрегатор разборок</t>
  </si>
  <si>
    <t>Цены видны в карточке без входа</t>
  </si>
  <si>
    <t>Авито</t>
  </si>
  <si>
    <t>Контрактные узлы</t>
  </si>
  <si>
    <t>Доска объявлений</t>
  </si>
  <si>
    <t>Часть цен скрыта в объявлениях</t>
  </si>
  <si>
    <t>iZAP24 / База Дром</t>
  </si>
  <si>
    <t>Катализаторы, блоки, узлы</t>
  </si>
  <si>
    <t>Агрегаторы</t>
  </si>
  <si>
    <t>Для позиций без открытой цены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</si>
</sst>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-#,##0"/>
    <numFmt numFmtId="165" formatCode="#,##0&quot; ₽&quot;;[Red]-#,##0&quot; ₽&quot;"/>
  </numFmts>
  <fonts count="10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1F2A37"/>
      <name val="Calibri"/>
    </font>
    <font>
      <b/>
      <sz val="9"/>
      <color rgb="FF667085"/>
      <name val="Calibri"/>
    </font>
    <font>
      <b/>
      <sz val="15"/>
      <color rgb="FF1F2A37"/>
      <name val="Calibri"/>
    </font>
    <font>
      <b/>
      <sz val="11"/>
      <color rgb="FF1F2A37"/>
      <name val="Calibri"/>
    </font>
    <font>
      <b/>
      <sz val="10"/>
      <color rgb="FFFFFFFF"/>
      <name val="Calibri"/>
    </font>
    <font>
      <sz val="10"/>
      <color rgb="FF667085"/>
      <name val="Calibri"/>
    </font>
    <font>
      <u/>
      <sz val="10"/>
      <color rgb="FF2F5597"/>
      <name val="Calibri"/>
    </font>
    <font>
      <u/>
      <sz val="10"/>
      <color rgb="FF2A7F7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  <fill>
      <patternFill patternType="solid">
        <fgColor rgb="FFE8F5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2" fillId="0" borderId="0" xfId="0" applyFont="1"/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vito.ru/all/zapchasti_i_aksessuary?q=lada%20largus%20%D0%94%D0%B2%D0%B8%D0%B3%D0%B0%D1%82%D0%B5%D0%BB%D1%8C%20%D0%B2%20%D1%81%D0%B1%D0%BE%D1%80%D0%B5%20(%D0%BA%D0%BE%D0%BD%D1%82%D1%80%D0%B0%D0%BA%D1%82%20K4M)%20%D0%B1%D1%83" TargetMode="External"/><Relationship Id="rId2" Type="http://schemas.openxmlformats.org/officeDocument/2006/relationships/hyperlink" Target="https://baza.drom.ru/sell_spare_parts/+/lada%20largus%20%D0%94%D0%B2%D0%B8%D0%B3%D0%B0%D1%82%D0%B5%D0%BB%D1%8C%20%D0%B2%20%D1%81%D0%B1%D0%BE%D1%80%D0%B5%20(%D0%BA%D0%BE%D0%BD%D1%82%D1%80%D0%B0%D0%BA%D1%82%20K4M)%20%D0%B1%D1%83/" TargetMode="External"/><Relationship Id="rId3" Type="http://schemas.openxmlformats.org/officeDocument/2006/relationships/hyperlink" Target="https://www.avito.ru/all/zapchasti_i_aksessuary?q=lada%20largus%20%D0%93%D0%91%D0%A6%20%D0%B2%20%D1%81%D0%B1%D0%BE%D1%80%D0%B5%20%D0%B1%D1%83" TargetMode="External"/><Relationship Id="rId4" Type="http://schemas.openxmlformats.org/officeDocument/2006/relationships/hyperlink" Target="https://baza.drom.ru/sell_spare_parts/+/lada%20largus%20%D0%93%D0%91%D0%A6%20%D0%B2%20%D1%81%D0%B1%D0%BE%D1%80%D0%B5%20%D0%B1%D1%83/" TargetMode="External"/><Relationship Id="rId5" Type="http://schemas.openxmlformats.org/officeDocument/2006/relationships/hyperlink" Target="https://www.avito.ru/all/zapchasti_i_aksessuary?q=lada%20largus%20%D0%A1%D1%82%D0%B0%D1%80%D1%82%D0%B5%D1%80%20%D0%B1%D1%83" TargetMode="External"/><Relationship Id="rId6" Type="http://schemas.openxmlformats.org/officeDocument/2006/relationships/hyperlink" Target="https://baza.drom.ru/sell_spare_parts/+/lada%20largus%20%D0%A1%D1%82%D0%B0%D1%80%D1%82%D0%B5%D1%80%20%D0%B1%D1%83/" TargetMode="External"/><Relationship Id="rId7" Type="http://schemas.openxmlformats.org/officeDocument/2006/relationships/hyperlink" Target="https://www.avito.ru/all/zapchasti_i_aksessuary?q=lada%20largus%20%D0%93%D0%B5%D0%BD%D0%B5%D1%80%D0%B0%D1%82%D0%BE%D1%80%20(Bosch%2090%D0%90)%20%D0%B1%D1%83" TargetMode="External"/><Relationship Id="rId8" Type="http://schemas.openxmlformats.org/officeDocument/2006/relationships/hyperlink" Target="https://baza.drom.ru/sell_spare_parts/+/lada%20largus%20%D0%93%D0%B5%D0%BD%D0%B5%D1%80%D0%B0%D1%82%D0%BE%D1%80%20(Bosch%2090%D0%90)%20%D0%B1%D1%83/" TargetMode="External"/><Relationship Id="rId9" Type="http://schemas.openxmlformats.org/officeDocument/2006/relationships/hyperlink" Target="https://www.avito.ru/all/zapchasti_i_aksessuary?q=lada%20largus%20%D0%9A%D0%B0%D1%82%D1%83%D1%88%D0%BA%D0%B0%20%D0%B7%D0%B0%D0%B6%D0%B8%D0%B3%D0%B0%D0%BD%D0%B8%D1%8F%20(%D0%BA%D0%BE%D0%BC%D0%BF%D0%BB%D0%B5%D0%BA%D1%82)%20%D0%B1%D1%83" TargetMode="External"/><Relationship Id="rId10" Type="http://schemas.openxmlformats.org/officeDocument/2006/relationships/hyperlink" Target="https://baza.drom.ru/sell_spare_parts/+/lada%20largus%20%D0%9A%D0%B0%D1%82%D1%83%D1%88%D0%BA%D0%B0%20%D0%B7%D0%B0%D0%B6%D0%B8%D0%B3%D0%B0%D0%BD%D0%B8%D1%8F%20(%D0%BA%D0%BE%D0%BC%D0%BF%D0%BB%D0%B5%D0%BA%D1%82)%20%D0%B1%D1%83/" TargetMode="External"/><Relationship Id="rId11" Type="http://schemas.openxmlformats.org/officeDocument/2006/relationships/hyperlink" Target="https://www.avito.ru/all/zapchasti_i_aksessuary?q=lada%20largus%20%D0%A0%D0%B0%D0%B4%D0%B8%D0%B0%D1%82%D0%BE%D1%80%20%D0%BE%D1%85%D0%BB%D0%B0%D0%B6%D0%B4%D0%B5%D0%BD%D0%B8%D1%8F%20%D0%B1%D1%83" TargetMode="External"/><Relationship Id="rId12" Type="http://schemas.openxmlformats.org/officeDocument/2006/relationships/hyperlink" Target="https://baza.drom.ru/sell_spare_parts/+/lada%20largus%20%D0%A0%D0%B0%D0%B4%D0%B8%D0%B0%D1%82%D0%BE%D1%80%20%D0%BE%D1%85%D0%BB%D0%B0%D0%B6%D0%B4%D0%B5%D0%BD%D0%B8%D1%8F%20%D0%B1%D1%83/" TargetMode="External"/><Relationship Id="rId13" Type="http://schemas.openxmlformats.org/officeDocument/2006/relationships/hyperlink" Target="https://www.avito.ru/all/zapchasti_i_aksessuary?q=lada%20largus%20%D0%9A%D0%BE%D1%80%D0%BF%D1%83%D1%81%20%D1%82%D0%B5%D1%80%D0%BC%D0%BE%D1%81%D1%82%D0%B0%D1%82%D0%B0%20%D0%B1%D1%83" TargetMode="External"/><Relationship Id="rId14" Type="http://schemas.openxmlformats.org/officeDocument/2006/relationships/hyperlink" Target="https://baza.drom.ru/sell_spare_parts/+/lada%20largus%20%D0%9A%D0%BE%D1%80%D0%BF%D1%83%D1%81%20%D1%82%D0%B5%D1%80%D0%BC%D0%BE%D1%81%D1%82%D0%B0%D1%82%D0%B0%20%D0%B1%D1%83/" TargetMode="External"/><Relationship Id="rId15" Type="http://schemas.openxmlformats.org/officeDocument/2006/relationships/hyperlink" Target="https://www.avito.ru/all/zapchasti_i_aksessuary?q=lada%20largus%20%D0%9A%D0%B0%D1%82%D0%B0%D0%BB%D0%B8%D0%B7%D0%B0%D1%82%D0%BE%D1%80%20%2F%20%D0%BA%D0%B0%D1%82%D0%BA%D0%BE%D0%BB%D0%BB%D0%B5%D0%BA%D1%82%D0%BE%D1%80%20%D0%B1%D1%83" TargetMode="External"/><Relationship Id="rId16" Type="http://schemas.openxmlformats.org/officeDocument/2006/relationships/hyperlink" Target="https://baza.drom.ru/sell_spare_parts/+/lada%20largus%20%D0%9A%D0%B0%D1%82%D0%B0%D0%BB%D0%B8%D0%B7%D0%B0%D1%82%D0%BE%D1%80%20%2F%20%D0%BA%D0%B0%D1%82%D0%BA%D0%BE%D0%BB%D0%BB%D0%B5%D0%BA%D1%82%D0%BE%D1%80%20%D0%B1%D1%83/" TargetMode="External"/><Relationship Id="rId17" Type="http://schemas.openxmlformats.org/officeDocument/2006/relationships/hyperlink" Target="https://www.avito.ru/all/zapchasti_i_aksessuary?q=lada%20largus%20%D0%9C%D0%9A%D0%9F%D0%9F%20(JR5)%20%D0%B1%D1%83" TargetMode="External"/><Relationship Id="rId18" Type="http://schemas.openxmlformats.org/officeDocument/2006/relationships/hyperlink" Target="https://baza.drom.ru/sell_spare_parts/+/lada%20largus%20%D0%9C%D0%9A%D0%9F%D0%9F%20(JR5)%20%D0%B1%D1%83/" TargetMode="External"/><Relationship Id="rId19" Type="http://schemas.openxmlformats.org/officeDocument/2006/relationships/hyperlink" Target="https://www.avito.ru/all/zapchasti_i_aksessuary?q=lada%20largus%20%D0%9A%D0%BE%D0%BC%D0%BF%D0%BB%D0%B5%D0%BA%D1%82%20%D1%81%D1%86%D0%B5%D0%BF%D0%BB%D0%B5%D0%BD%D0%B8%D1%8F%20%D0%B1%D1%83" TargetMode="External"/><Relationship Id="rId20" Type="http://schemas.openxmlformats.org/officeDocument/2006/relationships/hyperlink" Target="https://baza.drom.ru/sell_spare_parts/+/lada%20largus%20%D0%9A%D0%BE%D0%BC%D0%BF%D0%BB%D0%B5%D0%BA%D1%82%20%D1%81%D1%86%D0%B5%D0%BF%D0%BB%D0%B5%D0%BD%D0%B8%D1%8F%20%D0%B1%D1%83/" TargetMode="External"/><Relationship Id="rId21" Type="http://schemas.openxmlformats.org/officeDocument/2006/relationships/hyperlink" Target="https://www.avito.ru/all/zapchasti_i_aksessuary?q=lada%20largus%20%D0%9F%D1%80%D0%B8%D0%B2%D0%BE%D0%B4%20%2F%20%D0%BF%D0%BE%D0%BB%D1%83%D0%BE%D1%81%D1%8C%20%D0%B1%D1%83" TargetMode="External"/><Relationship Id="rId22" Type="http://schemas.openxmlformats.org/officeDocument/2006/relationships/hyperlink" Target="https://baza.drom.ru/sell_spare_parts/+/lada%20largus%20%D0%9F%D1%80%D0%B8%D0%B2%D0%BE%D0%B4%20%2F%20%D0%BF%D0%BE%D0%BB%D1%83%D0%BE%D1%81%D1%8C%20%D0%B1%D1%83/" TargetMode="External"/><Relationship Id="rId23" Type="http://schemas.openxmlformats.org/officeDocument/2006/relationships/hyperlink" Target="https://www.avito.ru/all/zapchasti_i_aksessuary?q=lada%20largus%20%D0%A0%D1%8B%D1%87%D0%B0%D0%B3%20%D0%BF%D0%B5%D1%80%D0%B5%D0%B4%D0%BD%D0%B8%D0%B9%20%D0%BD%D0%B8%D0%B6%D0%BD%D0%B8%D0%B9%20%D0%B1%D1%83" TargetMode="External"/><Relationship Id="rId24" Type="http://schemas.openxmlformats.org/officeDocument/2006/relationships/hyperlink" Target="https://baza.drom.ru/sell_spare_parts/+/lada%20largus%20%D0%A0%D1%8B%D1%87%D0%B0%D0%B3%20%D0%BF%D0%B5%D1%80%D0%B5%D0%B4%D0%BD%D0%B8%D0%B9%20%D0%BD%D0%B8%D0%B6%D0%BD%D0%B8%D0%B9%20%D0%B1%D1%83/" TargetMode="External"/><Relationship Id="rId25" Type="http://schemas.openxmlformats.org/officeDocument/2006/relationships/hyperlink" Target="https://www.avito.ru/all/zapchasti_i_aksessuary?q=lada%20largus%20%D0%90%D0%BC%D0%BE%D1%80%D1%82%D0%B8%D0%B7%D0%B0%D1%82%D0%BE%D1%80%20%D0%B7%D0%B0%D0%B4%D0%BD%D0%B8%D0%B9%20%D0%B1%D1%83" TargetMode="External"/><Relationship Id="rId26" Type="http://schemas.openxmlformats.org/officeDocument/2006/relationships/hyperlink" Target="https://baza.drom.ru/sell_spare_parts/+/lada%20largus%20%D0%90%D0%BC%D0%BE%D1%80%D1%82%D0%B8%D0%B7%D0%B0%D1%82%D0%BE%D1%80%20%D0%B7%D0%B0%D0%B4%D0%BD%D0%B8%D0%B9%20%D0%B1%D1%83/" TargetMode="External"/><Relationship Id="rId27" Type="http://schemas.openxmlformats.org/officeDocument/2006/relationships/hyperlink" Target="https://www.avito.ru/all/zapchasti_i_aksessuary?q=lada%20largus%20%D0%9D%D0%B0%D1%81%D0%BE%D1%81%20%D0%93%D0%A3%D0%A0%20%D0%B1%D1%83" TargetMode="External"/><Relationship Id="rId28" Type="http://schemas.openxmlformats.org/officeDocument/2006/relationships/hyperlink" Target="https://baza.drom.ru/sell_spare_parts/+/lada%20largus%20%D0%9D%D0%B0%D1%81%D0%BE%D1%81%20%D0%93%D0%A3%D0%A0%20%D0%B1%D1%83/" TargetMode="External"/><Relationship Id="rId29" Type="http://schemas.openxmlformats.org/officeDocument/2006/relationships/hyperlink" Target="https://www.avito.ru/all/zapchasti_i_aksessuary?q=lada%20largus%20%D0%A0%D1%83%D0%BB%D0%B5%D0%B2%D0%B0%D1%8F%20%D1%80%D0%B5%D0%B9%D0%BA%D0%B0%20%D0%B1%D1%83" TargetMode="External"/><Relationship Id="rId30" Type="http://schemas.openxmlformats.org/officeDocument/2006/relationships/hyperlink" Target="https://baza.drom.ru/sell_spare_parts/+/lada%20largus%20%D0%A0%D1%83%D0%BB%D0%B5%D0%B2%D0%B0%D1%8F%20%D1%80%D0%B5%D0%B9%D0%BA%D0%B0%20%D0%B1%D1%83/" TargetMode="External"/><Relationship Id="rId31" Type="http://schemas.openxmlformats.org/officeDocument/2006/relationships/hyperlink" Target="https://www.avito.ru/all/zapchasti_i_aksessuary?q=lada%20largus%20%D0%A1%D1%83%D0%BF%D0%BF%D0%BE%D1%80%D1%82%20%D0%BF%D0%B5%D1%80%D0%B5%D0%B4%D0%BD%D0%B8%D0%B9%20%D0%B1%D1%83" TargetMode="External"/><Relationship Id="rId32" Type="http://schemas.openxmlformats.org/officeDocument/2006/relationships/hyperlink" Target="https://baza.drom.ru/sell_spare_parts/+/lada%20largus%20%D0%A1%D1%83%D0%BF%D0%BF%D0%BE%D1%80%D1%82%20%D0%BF%D0%B5%D1%80%D0%B5%D0%B4%D0%BD%D0%B8%D0%B9%20%D0%B1%D1%83/" TargetMode="External"/><Relationship Id="rId33" Type="http://schemas.openxmlformats.org/officeDocument/2006/relationships/hyperlink" Target="https://www.avito.ru/all/zapchasti_i_aksessuary?q=lada%20largus%20%D0%94%D0%B8%D1%81%D0%BA%20%D1%82%D0%BE%D1%80%D0%BC%D0%BE%D0%B7%D0%BD%D0%BE%D0%B9%20%D0%BF%D0%B5%D1%80%D0%B5%D0%B4%D0%BD%D0%B8%D0%B9%20%D0%B1%D1%83" TargetMode="External"/><Relationship Id="rId34" Type="http://schemas.openxmlformats.org/officeDocument/2006/relationships/hyperlink" Target="https://baza.drom.ru/sell_spare_parts/+/lada%20largus%20%D0%94%D0%B8%D1%81%D0%BA%20%D1%82%D0%BE%D1%80%D0%BC%D0%BE%D0%B7%D0%BD%D0%BE%D0%B9%20%D0%BF%D0%B5%D1%80%D0%B5%D0%B4%D0%BD%D0%B8%D0%B9%20%D0%B1%D1%83/" TargetMode="External"/><Relationship Id="rId35" Type="http://schemas.openxmlformats.org/officeDocument/2006/relationships/hyperlink" Target="https://www.avito.ru/all/zapchasti_i_aksessuary?q=lada%20largus%20%D0%93%D0%A2%D0%A6%20%D0%B1%D1%83" TargetMode="External"/><Relationship Id="rId36" Type="http://schemas.openxmlformats.org/officeDocument/2006/relationships/hyperlink" Target="https://baza.drom.ru/sell_spare_parts/+/lada%20largus%20%D0%93%D0%A2%D0%A6%20%D0%B1%D1%83/" TargetMode="External"/><Relationship Id="rId37" Type="http://schemas.openxmlformats.org/officeDocument/2006/relationships/hyperlink" Target="https://www.avito.ru/all/zapchasti_i_aksessuary?q=lada%20largus%20%D0%92%D0%B0%D0%BA%D1%83%D1%83%D0%BC%D0%BD%D1%8B%D0%B9%20%D1%83%D1%81%D0%B8%D0%BB%D0%B8%D1%82%D0%B5%D0%BB%D1%8C%20%D0%B1%D1%83" TargetMode="External"/><Relationship Id="rId38" Type="http://schemas.openxmlformats.org/officeDocument/2006/relationships/hyperlink" Target="https://baza.drom.ru/sell_spare_parts/+/lada%20largus%20%D0%92%D0%B0%D0%BA%D1%83%D1%83%D0%BC%D0%BD%D1%8B%D0%B9%20%D1%83%D1%81%D0%B8%D0%BB%D0%B8%D1%82%D0%B5%D0%BB%D1%8C%20%D0%B1%D1%83/" TargetMode="External"/><Relationship Id="rId39" Type="http://schemas.openxmlformats.org/officeDocument/2006/relationships/hyperlink" Target="https://www.avito.ru/all/zapchasti_i_aksessuary?q=lada%20largus%20%D0%A4%D0%B0%D1%80%D0%B0%20%D0%BF%D0%B5%D1%80%D0%B5%D0%B4%D0%BD%D1%8F%D1%8F%20%D0%B1%D1%83" TargetMode="External"/><Relationship Id="rId40" Type="http://schemas.openxmlformats.org/officeDocument/2006/relationships/hyperlink" Target="https://baza.drom.ru/sell_spare_parts/+/lada%20largus%20%D0%A4%D0%B0%D1%80%D0%B0%20%D0%BF%D0%B5%D1%80%D0%B5%D0%B4%D0%BD%D1%8F%D1%8F%20%D0%B1%D1%83/" TargetMode="External"/><Relationship Id="rId41" Type="http://schemas.openxmlformats.org/officeDocument/2006/relationships/hyperlink" Target="https://www.avito.ru/all/zapchasti_i_aksessuary?q=lada%20largus%20%D0%A4%D0%BE%D0%BD%D0%B0%D1%80%D1%8C%20%D0%B7%D0%B0%D0%B4%D0%BD%D0%B8%D0%B9%20%D0%B1%D1%83" TargetMode="External"/><Relationship Id="rId42" Type="http://schemas.openxmlformats.org/officeDocument/2006/relationships/hyperlink" Target="https://baza.drom.ru/sell_spare_parts/+/lada%20largus%20%D0%A4%D0%BE%D0%BD%D0%B0%D1%80%D1%8C%20%D0%B7%D0%B0%D0%B4%D0%BD%D0%B8%D0%B9%20%D0%B1%D1%83/" TargetMode="External"/><Relationship Id="rId43" Type="http://schemas.openxmlformats.org/officeDocument/2006/relationships/hyperlink" Target="https://www.avito.ru/all/zapchasti_i_aksessuary?q=lada%20largus%20%D0%9A%D0%B0%D0%BF%D0%BE%D1%82%20%D0%B1%D1%83" TargetMode="External"/><Relationship Id="rId44" Type="http://schemas.openxmlformats.org/officeDocument/2006/relationships/hyperlink" Target="https://baza.drom.ru/sell_spare_parts/+/lada%20largus%20%D0%9A%D0%B0%D0%BF%D0%BE%D1%82%20%D0%B1%D1%83/" TargetMode="External"/><Relationship Id="rId45" Type="http://schemas.openxmlformats.org/officeDocument/2006/relationships/hyperlink" Target="https://www.avito.ru/all/zapchasti_i_aksessuary?q=lada%20largus%20%D0%9A%D1%80%D1%8B%D0%BB%D0%BE%20%D0%BF%D0%B5%D1%80%D0%B5%D0%B4%D0%BD%D0%B5%D0%B5%20%D0%B1%D1%83" TargetMode="External"/><Relationship Id="rId46" Type="http://schemas.openxmlformats.org/officeDocument/2006/relationships/hyperlink" Target="https://baza.drom.ru/sell_spare_parts/+/lada%20largus%20%D0%9A%D1%80%D1%8B%D0%BB%D0%BE%20%D0%BF%D0%B5%D1%80%D0%B5%D0%B4%D0%BD%D0%B5%D0%B5%20%D0%B1%D1%83/" TargetMode="External"/><Relationship Id="rId47" Type="http://schemas.openxmlformats.org/officeDocument/2006/relationships/hyperlink" Target="https://www.avito.ru/all/zapchasti_i_aksessuary?q=lada%20largus%20%D0%91%D0%B0%D0%BC%D0%BF%D0%B5%D1%80%20%D0%BF%D0%B5%D1%80%D0%B5%D0%B4%D0%BD%D0%B8%D0%B9%20%D0%B1%D1%83" TargetMode="External"/><Relationship Id="rId48" Type="http://schemas.openxmlformats.org/officeDocument/2006/relationships/hyperlink" Target="https://baza.drom.ru/sell_spare_parts/+/lada%20largus%20%D0%91%D0%B0%D0%BC%D0%BF%D0%B5%D1%80%20%D0%BF%D0%B5%D1%80%D0%B5%D0%B4%D0%BD%D0%B8%D0%B9%20%D0%B1%D1%83/" TargetMode="External"/><Relationship Id="rId49" Type="http://schemas.openxmlformats.org/officeDocument/2006/relationships/hyperlink" Target="https://www.avito.ru/all/zapchasti_i_aksessuary?q=lada%20largus%20%D0%94%D0%B2%D0%B5%D1%80%D1%8C%20%D0%B7%D0%B0%D0%B4%D0%BD%D1%8F%D1%8F%20%D0%B1%D1%83" TargetMode="External"/><Relationship Id="rId50" Type="http://schemas.openxmlformats.org/officeDocument/2006/relationships/hyperlink" Target="https://baza.drom.ru/sell_spare_parts/+/lada%20largus%20%D0%94%D0%B2%D0%B5%D1%80%D1%8C%20%D0%B7%D0%B0%D0%B4%D0%BD%D1%8F%D1%8F%20%D0%B1%D1%83/" TargetMode="External"/><Relationship Id="rId51" Type="http://schemas.openxmlformats.org/officeDocument/2006/relationships/hyperlink" Target="https://www.avito.ru/all/zapchasti_i_aksessuary?q=lada%20largus%20%D0%94%D0%B2%D0%B5%D1%80%D1%8C%20%D0%B7%D0%B0%D0%B4%D0%BA%D0%B0%20(%D0%B1%D0%B0%D0%B3%D0%B0%D0%B6%D0%BD%D0%B8%D0%BA)%20%D0%B1%D1%83" TargetMode="External"/><Relationship Id="rId52" Type="http://schemas.openxmlformats.org/officeDocument/2006/relationships/hyperlink" Target="https://baza.drom.ru/sell_spare_parts/+/lada%20largus%20%D0%94%D0%B2%D0%B5%D1%80%D1%8C%20%D0%B7%D0%B0%D0%B4%D0%BA%D0%B0%20(%D0%B1%D0%B0%D0%B3%D0%B0%D0%B6%D0%BD%D0%B8%D0%BA)%20%D0%B1%D1%83/" TargetMode="External"/><Relationship Id="rId53" Type="http://schemas.openxmlformats.org/officeDocument/2006/relationships/hyperlink" Target="https://www.avito.ru/all/zapchasti_i_aksessuary?q=lada%20largus%20%D0%AD%D0%91%D0%A3%20(Logan%20K7J)%20%D0%B1%D1%83" TargetMode="External"/><Relationship Id="rId54" Type="http://schemas.openxmlformats.org/officeDocument/2006/relationships/hyperlink" Target="https://baza.drom.ru/sell_spare_parts/+/lada%20largus%20%D0%AD%D0%91%D0%A3%20(Logan%20K7J)%20%D0%B1%D1%83/" TargetMode="External"/><Relationship Id="rId55" Type="http://schemas.openxmlformats.org/officeDocument/2006/relationships/hyperlink" Target="https://www.avito.ru/all/zapchasti_i_aksessuary?q=lada%20largus%20%D0%9C%D0%BE%D1%82%D0%BE%D1%80%20%D1%81%D1%82%D0%B5%D0%BA%D0%BB%D0%BE%D0%BF%D0%BE%D0%B4%D1%8A%D1%91%D0%BC%D0%BD%D0%B8%D0%BA%D0%B0%20%D0%B1%D1%83" TargetMode="External"/><Relationship Id="rId56" Type="http://schemas.openxmlformats.org/officeDocument/2006/relationships/hyperlink" Target="https://baza.drom.ru/sell_spare_parts/+/lada%20largus%20%D0%9C%D0%BE%D1%82%D0%BE%D1%80%20%D1%81%D1%82%D0%B5%D0%BA%D0%BB%D0%BE%D0%BF%D0%BE%D0%B4%D1%8A%D1%91%D0%BC%D0%BD%D0%B8%D0%BA%D0%B0%20%D0%B1%D1%83/" TargetMode="External"/><Relationship Id="rId57" Type="http://schemas.openxmlformats.org/officeDocument/2006/relationships/hyperlink" Target="https://www.avito.ru/all/zapchasti_i_aksessuary?q=lada%20largus%20%D0%9C%D0%BE%D1%82%D0%BE%D1%80%20%D0%BF%D0%B5%D1%87%D0%BA%D0%B8%20%D0%B1%D1%83" TargetMode="External"/><Relationship Id="rId58" Type="http://schemas.openxmlformats.org/officeDocument/2006/relationships/hyperlink" Target="https://baza.drom.ru/sell_spare_parts/+/lada%20largus%20%D0%9C%D0%BE%D1%82%D0%BE%D1%80%20%D0%BF%D0%B5%D1%87%D0%BA%D0%B8%20%D0%B1%D1%83/" TargetMode="External"/><Relationship Id="rId59" Type="http://schemas.openxmlformats.org/officeDocument/2006/relationships/hyperlink" Target="https://www.avito.ru/all/zapchasti_i_aksessuary?q=lada%20largus%20%D0%A1%D0%B8%D0%B4%D0%B5%D0%BD%D1%8C%D0%B5%20%D0%BF%D0%B5%D1%80%D0%B5%D0%B4%D0%BD%D0%B5%D0%B5%20%D0%B1%D1%83" TargetMode="External"/><Relationship Id="rId60" Type="http://schemas.openxmlformats.org/officeDocument/2006/relationships/hyperlink" Target="https://baza.drom.ru/sell_spare_parts/+/lada%20largus%20%D0%A1%D0%B8%D0%B4%D0%B5%D0%BD%D1%8C%D0%B5%20%D0%BF%D0%B5%D1%80%D0%B5%D0%B4%D0%BD%D0%B5%D0%B5%20%D0%B1%D1%83/" TargetMode="External"/><Relationship Id="rId61" Type="http://schemas.openxmlformats.org/officeDocument/2006/relationships/hyperlink" Target="https://www.avito.ru/all/zapchasti_i_aksessuary?q=lada%20largus%20%D0%A1%D0%B8%D0%B4%D0%B5%D0%BD%D1%8C%D0%B5%20%D0%B7%D0%B0%D0%B4%D0%BD%D0%B5%D0%B5%20(%D0%B4%D0%B8%D0%B2%D0%B0%D0%BD)%20%D0%B1%D1%83" TargetMode="External"/><Relationship Id="rId62" Type="http://schemas.openxmlformats.org/officeDocument/2006/relationships/hyperlink" Target="https://baza.drom.ru/sell_spare_parts/+/lada%20largus%20%D0%A1%D0%B8%D0%B4%D0%B5%D0%BD%D1%8C%D0%B5%20%D0%B7%D0%B0%D0%B4%D0%BD%D0%B5%D0%B5%20(%D0%B4%D0%B8%D0%B2%D0%B0%D0%BD)%20%D0%B1%D1%8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2" customWidth="1"/>
    <col min="3" max="4" width="16" customWidth="1"/>
    <col min="5" max="5" width="14" customWidth="1"/>
    <col min="6" max="6" width="12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32" customHeight="1" spans="1:6" x14ac:dyDescent="0.25">
      <c r="A2" s="2" t="s">
        <v>1</v>
      </c>
      <c r="B2" s="2"/>
      <c r="C2" s="2"/>
      <c r="D2" s="2"/>
      <c r="E2" s="2"/>
      <c r="F2" s="2"/>
    </row>
    <row r="3" ht="26" customHeight="1" spans="1:5" x14ac:dyDescent="0.25">
      <c r="A3" s="3" t="s">
        <v>2</v>
      </c>
      <c r="C3" s="3" t="s">
        <v>3</v>
      </c>
      <c r="E3" s="3" t="s">
        <v>4</v>
      </c>
    </row>
    <row r="4" ht="30" customHeight="1" spans="1:5" x14ac:dyDescent="0.25">
      <c r="A4" s="4">
        <f>COUNTA('Прайс'!$C$4:$C$34)</f>
        <v>31</v>
      </c>
      <c r="C4" s="4">
        <f>COUNTA('Дашборд'!$B$9:$B$15)</f>
        <v>7</v>
      </c>
      <c r="E4" s="4">
        <f>COUNT('Прайс'!$E$4:$E$34)</f>
        <v>31</v>
      </c>
    </row>
    <row r="8" spans="1:1" x14ac:dyDescent="0.25">
      <c r="A8" s="5" t="s">
        <v>5</v>
      </c>
    </row>
    <row r="9" spans="1:6" x14ac:dyDescent="0.25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</row>
    <row r="10" spans="1:6" x14ac:dyDescent="0.25">
      <c r="A10" s="7" t="s">
        <v>12</v>
      </c>
      <c r="B10" s="8">
        <f>COUNTIF('Прайс'!$B$4:$B$34,A10)</f>
        <v>8</v>
      </c>
      <c r="C10" s="9">
        <f>AVERAGEIF('Прайс'!$B$4:$B$34,A10,'Прайс'!$E$4:$E$34)</f>
        <v>20821</v>
      </c>
      <c r="D10" s="9">
        <f>AVERAGEIF('Прайс'!$B$4:$B$34,A10,'Прайс'!$F$4:$F$34)</f>
        <v>24285</v>
      </c>
      <c r="E10" s="9">
        <f>ROUND((C10+D10)/2,0)</f>
        <v>22553</v>
      </c>
      <c r="F10" s="9">
        <f>D10-C10</f>
        <v>3464</v>
      </c>
    </row>
    <row r="11" spans="1:6" x14ac:dyDescent="0.25">
      <c r="A11" s="7" t="s">
        <v>13</v>
      </c>
      <c r="B11" s="8">
        <f>COUNTIF('Прайс'!$B$4:$B$34,A11)</f>
        <v>3</v>
      </c>
      <c r="C11" s="9">
        <f>AVERAGEIF('Прайс'!$B$4:$B$34,A11,'Прайс'!$E$4:$E$34)</f>
        <v>17867</v>
      </c>
      <c r="D11" s="9">
        <f>AVERAGEIF('Прайс'!$B$4:$B$34,A11,'Прайс'!$F$4:$F$34)</f>
        <v>30533</v>
      </c>
      <c r="E11" s="9">
        <f>ROUND((C11+D11)/2,0)</f>
        <v>24200</v>
      </c>
      <c r="F11" s="9">
        <f>D11-C11</f>
        <v>12666</v>
      </c>
    </row>
    <row r="12" spans="1:6" x14ac:dyDescent="0.25">
      <c r="A12" s="7" t="s">
        <v>14</v>
      </c>
      <c r="B12" s="8">
        <f>COUNTIF('Прайс'!$B$4:$B$34,A12)</f>
        <v>4</v>
      </c>
      <c r="C12" s="9">
        <f>AVERAGEIF('Прайс'!$B$4:$B$34,A12,'Прайс'!$E$4:$E$34)</f>
        <v>3925</v>
      </c>
      <c r="D12" s="9">
        <f>AVERAGEIF('Прайс'!$B$4:$B$34,A12,'Прайс'!$F$4:$F$34)</f>
        <v>6663</v>
      </c>
      <c r="E12" s="9">
        <f>ROUND((C12+D12)/2,0)</f>
        <v>5294</v>
      </c>
      <c r="F12" s="9">
        <f>D12-C12</f>
        <v>2738</v>
      </c>
    </row>
    <row r="13" spans="1:6" x14ac:dyDescent="0.25">
      <c r="A13" s="7" t="s">
        <v>15</v>
      </c>
      <c r="B13" s="8">
        <f>COUNTIF('Прайс'!$B$4:$B$34,A13)</f>
        <v>4</v>
      </c>
      <c r="C13" s="9">
        <f>AVERAGEIF('Прайс'!$B$4:$B$34,A13,'Прайс'!$E$4:$E$34)</f>
        <v>1350</v>
      </c>
      <c r="D13" s="9">
        <f>AVERAGEIF('Прайс'!$B$4:$B$34,A13,'Прайс'!$F$4:$F$34)</f>
        <v>1800</v>
      </c>
      <c r="E13" s="9">
        <f>ROUND((C13+D13)/2,0)</f>
        <v>1575</v>
      </c>
      <c r="F13" s="9">
        <f>D13-C13</f>
        <v>450</v>
      </c>
    </row>
    <row r="14" spans="1:6" x14ac:dyDescent="0.25">
      <c r="A14" s="7" t="s">
        <v>16</v>
      </c>
      <c r="B14" s="8">
        <f>COUNTIF('Прайс'!$B$4:$B$34,A14)</f>
        <v>7</v>
      </c>
      <c r="C14" s="9">
        <f>AVERAGEIF('Прайс'!$B$4:$B$34,A14,'Прайс'!$E$4:$E$34)</f>
        <v>6214</v>
      </c>
      <c r="D14" s="9">
        <f>AVERAGEIF('Прайс'!$B$4:$B$34,A14,'Прайс'!$F$4:$F$34)</f>
        <v>9471</v>
      </c>
      <c r="E14" s="9">
        <f>ROUND((C14+D14)/2,0)</f>
        <v>7843</v>
      </c>
      <c r="F14" s="9">
        <f>D14-C14</f>
        <v>3257</v>
      </c>
    </row>
    <row r="15" spans="1:6" x14ac:dyDescent="0.25">
      <c r="A15" s="7" t="s">
        <v>17</v>
      </c>
      <c r="B15" s="8">
        <f>COUNTIF('Прайс'!$B$4:$B$34,A15)</f>
        <v>3</v>
      </c>
      <c r="C15" s="9">
        <f>AVERAGEIF('Прайс'!$B$4:$B$34,A15,'Прайс'!$E$4:$E$34)</f>
        <v>2300</v>
      </c>
      <c r="D15" s="9">
        <f>AVERAGEIF('Прайс'!$B$4:$B$34,A15,'Прайс'!$F$4:$F$34)</f>
        <v>2933</v>
      </c>
      <c r="E15" s="9">
        <f>ROUND((C15+D15)/2,0)</f>
        <v>2617</v>
      </c>
      <c r="F15" s="9">
        <f>D15-C15</f>
        <v>633</v>
      </c>
    </row>
    <row r="16" spans="1:6" x14ac:dyDescent="0.25">
      <c r="A16" s="7" t="s">
        <v>18</v>
      </c>
      <c r="B16" s="8">
        <f>COUNTIF('Прайс'!$B$4:$B$34,A16)</f>
        <v>2</v>
      </c>
      <c r="C16" s="9">
        <f>AVERAGEIF('Прайс'!$B$4:$B$34,A16,'Прайс'!$E$4:$E$34)</f>
        <v>4000</v>
      </c>
      <c r="D16" s="9">
        <f>AVERAGEIF('Прайс'!$B$4:$B$34,A16,'Прайс'!$F$4:$F$34)</f>
        <v>11000</v>
      </c>
      <c r="E16" s="9">
        <f>ROUND((C16+D16)/2,0)</f>
        <v>7500</v>
      </c>
      <c r="F16" s="9">
        <f>D16-C16</f>
        <v>7000</v>
      </c>
    </row>
    <row r="18" spans="1:1" x14ac:dyDescent="0.25">
      <c r="A18" s="5" t="s">
        <v>19</v>
      </c>
    </row>
    <row r="19" spans="1:1" x14ac:dyDescent="0.25">
      <c r="A19" s="10" t="s">
        <v>20</v>
      </c>
    </row>
    <row r="20" spans="1:1" x14ac:dyDescent="0.25">
      <c r="A20" s="10" t="s">
        <v>21</v>
      </c>
    </row>
  </sheetData>
  <mergeCells count="2">
    <mergeCell ref="A1:F1"/>
    <mergeCell ref="A2:F2"/>
  </mergeCells>
  <conditionalFormatting sqref="E10:E16">
    <cfRule type="dataBar" priority="1">
      <dataBar>
        <cfvo type="min"/>
        <cfvo type="max"/>
        <color rgb="FF2A7F77"/>
      </dataBar>
      <extLst>
        <ext xmlns:x14="http://schemas.microsoft.com/office/spreadsheetml/2009/9/main" uri="{B025F937-C7B1-47D3-B67F-A62EFF666E3E}">
          <x14:id>{855C4DD2-00B8-4556-B806-7AA8430F7FEE}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5C4DD2-00B8-4556-B806-7AA8430F7FEE}">
            <x14:dataBar minLength="0" maxLength="100">
              <x14:cfvo type="min"/>
              <x14:cfvo type="max"/>
            </x14:dataBar>
          </x14:cfRule>
          <xm:sqref>E10:E16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42" customWidth="1"/>
    <col min="4" max="4" width="18" customWidth="1"/>
    <col min="5" max="6" width="13" customWidth="1"/>
    <col min="7" max="7" width="12" customWidth="1"/>
    <col min="8" max="8" width="40" customWidth="1"/>
    <col min="9" max="9" width="14" customWidth="1"/>
    <col min="10" max="11" width="24" customWidth="1"/>
  </cols>
  <sheetData>
    <row r="1" ht="28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2" customHeight="1" spans="1:11" x14ac:dyDescent="0.25">
      <c r="A2" s="2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6" t="s">
        <v>23</v>
      </c>
      <c r="B3" s="6" t="s">
        <v>6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10</v>
      </c>
      <c r="H3" s="6" t="s">
        <v>28</v>
      </c>
      <c r="I3" s="6" t="s">
        <v>29</v>
      </c>
      <c r="J3" s="6" t="s">
        <v>30</v>
      </c>
      <c r="K3" s="6" t="s">
        <v>31</v>
      </c>
    </row>
    <row r="4" ht="24" customHeight="1" spans="1:11" x14ac:dyDescent="0.25">
      <c r="A4" s="11">
        <v>1</v>
      </c>
      <c r="B4" s="7" t="s">
        <v>12</v>
      </c>
      <c r="C4" s="7" t="s">
        <v>32</v>
      </c>
      <c r="D4" s="7" t="s">
        <v>33</v>
      </c>
      <c r="E4" s="9">
        <v>81500</v>
      </c>
      <c r="F4" s="9">
        <v>90000</v>
      </c>
      <c r="G4" s="9">
        <f>ROUND((E4+F4)/2,0)</f>
        <v>85750</v>
      </c>
      <c r="H4" s="12" t="s">
        <v>34</v>
      </c>
      <c r="I4" s="9">
        <f>E4</f>
        <v>81500</v>
      </c>
      <c r="J4" s="13" t="s">
        <v>30</v>
      </c>
      <c r="K4" s="14" t="s">
        <v>31</v>
      </c>
    </row>
    <row r="5" ht="24" customHeight="1" spans="1:11" x14ac:dyDescent="0.25">
      <c r="A5" s="11">
        <v>2</v>
      </c>
      <c r="B5" s="7" t="s">
        <v>12</v>
      </c>
      <c r="C5" s="7" t="s">
        <v>35</v>
      </c>
      <c r="D5" s="7" t="s">
        <v>36</v>
      </c>
      <c r="E5" s="9">
        <v>49999</v>
      </c>
      <c r="F5" s="9">
        <v>62000</v>
      </c>
      <c r="G5" s="9">
        <f>ROUND((E5+F5)/2,0)</f>
        <v>56000</v>
      </c>
      <c r="H5" s="12" t="s">
        <v>37</v>
      </c>
      <c r="I5" s="9">
        <f>E5</f>
        <v>49999</v>
      </c>
      <c r="J5" s="13" t="s">
        <v>30</v>
      </c>
      <c r="K5" s="14" t="s">
        <v>31</v>
      </c>
    </row>
    <row r="6" ht="24" customHeight="1" spans="1:11" x14ac:dyDescent="0.25">
      <c r="A6" s="11">
        <v>3</v>
      </c>
      <c r="B6" s="7" t="s">
        <v>12</v>
      </c>
      <c r="C6" s="7" t="s">
        <v>38</v>
      </c>
      <c r="D6" s="7" t="s">
        <v>39</v>
      </c>
      <c r="E6" s="9">
        <v>2999</v>
      </c>
      <c r="F6" s="9">
        <v>3480</v>
      </c>
      <c r="G6" s="9">
        <f>ROUND((E6+F6)/2,0)</f>
        <v>3240</v>
      </c>
      <c r="H6" s="12" t="s">
        <v>40</v>
      </c>
      <c r="I6" s="9">
        <f>E6</f>
        <v>2999</v>
      </c>
      <c r="J6" s="13" t="s">
        <v>30</v>
      </c>
      <c r="K6" s="14" t="s">
        <v>31</v>
      </c>
    </row>
    <row r="7" ht="24" customHeight="1" spans="1:11" x14ac:dyDescent="0.25">
      <c r="A7" s="11">
        <v>4</v>
      </c>
      <c r="B7" s="7" t="s">
        <v>12</v>
      </c>
      <c r="C7" s="7" t="s">
        <v>41</v>
      </c>
      <c r="D7" s="7" t="s">
        <v>42</v>
      </c>
      <c r="E7" s="9">
        <v>6000</v>
      </c>
      <c r="F7" s="9">
        <v>6000</v>
      </c>
      <c r="G7" s="9">
        <f>ROUND((E7+F7)/2,0)</f>
        <v>6000</v>
      </c>
      <c r="H7" s="12" t="s">
        <v>43</v>
      </c>
      <c r="I7" s="9">
        <f>E7</f>
        <v>6000</v>
      </c>
      <c r="J7" s="13" t="s">
        <v>30</v>
      </c>
      <c r="K7" s="14" t="s">
        <v>31</v>
      </c>
    </row>
    <row r="8" ht="24" customHeight="1" spans="1:11" x14ac:dyDescent="0.25">
      <c r="A8" s="11">
        <v>5</v>
      </c>
      <c r="B8" s="7" t="s">
        <v>12</v>
      </c>
      <c r="C8" s="7" t="s">
        <v>44</v>
      </c>
      <c r="D8" s="7" t="s">
        <v>45</v>
      </c>
      <c r="E8" s="9">
        <v>3800</v>
      </c>
      <c r="F8" s="9">
        <v>3800</v>
      </c>
      <c r="G8" s="9">
        <f>ROUND((E8+F8)/2,0)</f>
        <v>3800</v>
      </c>
      <c r="H8" s="12" t="s">
        <v>40</v>
      </c>
      <c r="I8" s="9">
        <f>E8</f>
        <v>3800</v>
      </c>
      <c r="J8" s="13" t="s">
        <v>30</v>
      </c>
      <c r="K8" s="14" t="s">
        <v>31</v>
      </c>
    </row>
    <row r="9" ht="24" customHeight="1" spans="1:11" x14ac:dyDescent="0.25">
      <c r="A9" s="11">
        <v>6</v>
      </c>
      <c r="B9" s="7" t="s">
        <v>12</v>
      </c>
      <c r="C9" s="7" t="s">
        <v>46</v>
      </c>
      <c r="D9" s="7" t="s">
        <v>47</v>
      </c>
      <c r="E9" s="9">
        <v>1820</v>
      </c>
      <c r="F9" s="9">
        <v>3000</v>
      </c>
      <c r="G9" s="9">
        <f>ROUND((E9+F9)/2,0)</f>
        <v>2410</v>
      </c>
      <c r="H9" s="12" t="s">
        <v>40</v>
      </c>
      <c r="I9" s="9">
        <f>E9</f>
        <v>1820</v>
      </c>
      <c r="J9" s="13" t="s">
        <v>30</v>
      </c>
      <c r="K9" s="14" t="s">
        <v>31</v>
      </c>
    </row>
    <row r="10" ht="24" customHeight="1" spans="1:11" x14ac:dyDescent="0.25">
      <c r="A10" s="11">
        <v>7</v>
      </c>
      <c r="B10" s="7" t="s">
        <v>12</v>
      </c>
      <c r="C10" s="7" t="s">
        <v>48</v>
      </c>
      <c r="D10" s="7" t="s">
        <v>49</v>
      </c>
      <c r="E10" s="9">
        <v>1450</v>
      </c>
      <c r="F10" s="9">
        <v>2999</v>
      </c>
      <c r="G10" s="9">
        <f>ROUND((E10+F10)/2,0)</f>
        <v>2225</v>
      </c>
      <c r="H10" s="12" t="s">
        <v>40</v>
      </c>
      <c r="I10" s="9">
        <f>E10</f>
        <v>1450</v>
      </c>
      <c r="J10" s="13" t="s">
        <v>30</v>
      </c>
      <c r="K10" s="14" t="s">
        <v>31</v>
      </c>
    </row>
    <row r="11" ht="24" customHeight="1" spans="1:11" x14ac:dyDescent="0.25">
      <c r="A11" s="11">
        <v>8</v>
      </c>
      <c r="B11" s="7" t="s">
        <v>12</v>
      </c>
      <c r="C11" s="7" t="s">
        <v>50</v>
      </c>
      <c r="D11" s="7" t="s">
        <v>51</v>
      </c>
      <c r="E11" s="9">
        <v>19000</v>
      </c>
      <c r="F11" s="9">
        <v>23000</v>
      </c>
      <c r="G11" s="9">
        <f>ROUND((E11+F11)/2,0)</f>
        <v>21000</v>
      </c>
      <c r="H11" s="12" t="s">
        <v>52</v>
      </c>
      <c r="I11" s="9">
        <f>E11</f>
        <v>19000</v>
      </c>
      <c r="J11" s="13" t="s">
        <v>30</v>
      </c>
      <c r="K11" s="14" t="s">
        <v>31</v>
      </c>
    </row>
    <row r="12" ht="24" customHeight="1" spans="1:11" x14ac:dyDescent="0.25">
      <c r="A12" s="11">
        <v>9</v>
      </c>
      <c r="B12" s="7" t="s">
        <v>13</v>
      </c>
      <c r="C12" s="7" t="s">
        <v>53</v>
      </c>
      <c r="D12" s="7" t="s">
        <v>54</v>
      </c>
      <c r="E12" s="9">
        <v>50000</v>
      </c>
      <c r="F12" s="9">
        <v>85000</v>
      </c>
      <c r="G12" s="9">
        <f>ROUND((E12+F12)/2,0)</f>
        <v>67500</v>
      </c>
      <c r="H12" s="12" t="s">
        <v>40</v>
      </c>
      <c r="I12" s="9">
        <f>E12</f>
        <v>50000</v>
      </c>
      <c r="J12" s="13" t="s">
        <v>30</v>
      </c>
      <c r="K12" s="14" t="s">
        <v>31</v>
      </c>
    </row>
    <row r="13" ht="24" customHeight="1" spans="1:11" x14ac:dyDescent="0.25">
      <c r="A13" s="11">
        <v>10</v>
      </c>
      <c r="B13" s="7" t="s">
        <v>13</v>
      </c>
      <c r="C13" s="7" t="s">
        <v>55</v>
      </c>
      <c r="D13" s="7" t="s">
        <v>56</v>
      </c>
      <c r="E13" s="9">
        <v>2100</v>
      </c>
      <c r="F13" s="9">
        <v>2100</v>
      </c>
      <c r="G13" s="9">
        <f>ROUND((E13+F13)/2,0)</f>
        <v>2100</v>
      </c>
      <c r="H13" s="12" t="s">
        <v>57</v>
      </c>
      <c r="I13" s="9">
        <f>E13</f>
        <v>2100</v>
      </c>
      <c r="J13" s="13" t="s">
        <v>30</v>
      </c>
      <c r="K13" s="14" t="s">
        <v>31</v>
      </c>
    </row>
    <row r="14" ht="24" customHeight="1" spans="1:11" x14ac:dyDescent="0.25">
      <c r="A14" s="11">
        <v>11</v>
      </c>
      <c r="B14" s="7" t="s">
        <v>13</v>
      </c>
      <c r="C14" s="7" t="s">
        <v>58</v>
      </c>
      <c r="D14" s="7" t="s">
        <v>59</v>
      </c>
      <c r="E14" s="9">
        <v>1500</v>
      </c>
      <c r="F14" s="9">
        <v>4500</v>
      </c>
      <c r="G14" s="9">
        <f>ROUND((E14+F14)/2,0)</f>
        <v>3000</v>
      </c>
      <c r="H14" s="12" t="s">
        <v>40</v>
      </c>
      <c r="I14" s="9">
        <f>E14</f>
        <v>1500</v>
      </c>
      <c r="J14" s="13" t="s">
        <v>30</v>
      </c>
      <c r="K14" s="14" t="s">
        <v>31</v>
      </c>
    </row>
    <row r="15" ht="24" customHeight="1" spans="1:11" x14ac:dyDescent="0.25">
      <c r="A15" s="11">
        <v>12</v>
      </c>
      <c r="B15" s="7" t="s">
        <v>14</v>
      </c>
      <c r="C15" s="7" t="s">
        <v>60</v>
      </c>
      <c r="D15" s="7" t="s">
        <v>61</v>
      </c>
      <c r="E15" s="9">
        <v>1500</v>
      </c>
      <c r="F15" s="9">
        <v>2000</v>
      </c>
      <c r="G15" s="9">
        <f>ROUND((E15+F15)/2,0)</f>
        <v>1750</v>
      </c>
      <c r="H15" s="12" t="s">
        <v>40</v>
      </c>
      <c r="I15" s="9">
        <f>E15</f>
        <v>1500</v>
      </c>
      <c r="J15" s="13" t="s">
        <v>30</v>
      </c>
      <c r="K15" s="14" t="s">
        <v>31</v>
      </c>
    </row>
    <row r="16" ht="24" customHeight="1" spans="1:11" x14ac:dyDescent="0.25">
      <c r="A16" s="11">
        <v>13</v>
      </c>
      <c r="B16" s="7" t="s">
        <v>14</v>
      </c>
      <c r="C16" s="7" t="s">
        <v>62</v>
      </c>
      <c r="D16" s="7" t="s">
        <v>63</v>
      </c>
      <c r="E16" s="9">
        <v>2700</v>
      </c>
      <c r="F16" s="9">
        <v>2990</v>
      </c>
      <c r="G16" s="9">
        <f>ROUND((E16+F16)/2,0)</f>
        <v>2845</v>
      </c>
      <c r="H16" s="12" t="s">
        <v>40</v>
      </c>
      <c r="I16" s="9">
        <f>E16</f>
        <v>2700</v>
      </c>
      <c r="J16" s="13" t="s">
        <v>30</v>
      </c>
      <c r="K16" s="14" t="s">
        <v>31</v>
      </c>
    </row>
    <row r="17" ht="24" customHeight="1" spans="1:11" x14ac:dyDescent="0.25">
      <c r="A17" s="11">
        <v>14</v>
      </c>
      <c r="B17" s="7" t="s">
        <v>14</v>
      </c>
      <c r="C17" s="7" t="s">
        <v>64</v>
      </c>
      <c r="D17" s="7" t="s">
        <v>65</v>
      </c>
      <c r="E17" s="9">
        <v>5000</v>
      </c>
      <c r="F17" s="9">
        <v>9660</v>
      </c>
      <c r="G17" s="9">
        <f>ROUND((E17+F17)/2,0)</f>
        <v>7330</v>
      </c>
      <c r="H17" s="12" t="s">
        <v>40</v>
      </c>
      <c r="I17" s="9">
        <f>E17</f>
        <v>5000</v>
      </c>
      <c r="J17" s="13" t="s">
        <v>30</v>
      </c>
      <c r="K17" s="14" t="s">
        <v>31</v>
      </c>
    </row>
    <row r="18" ht="24" customHeight="1" spans="1:11" x14ac:dyDescent="0.25">
      <c r="A18" s="11">
        <v>15</v>
      </c>
      <c r="B18" s="7" t="s">
        <v>14</v>
      </c>
      <c r="C18" s="7" t="s">
        <v>66</v>
      </c>
      <c r="D18" s="7" t="s">
        <v>67</v>
      </c>
      <c r="E18" s="9">
        <v>6500</v>
      </c>
      <c r="F18" s="9">
        <v>12000</v>
      </c>
      <c r="G18" s="9">
        <f>ROUND((E18+F18)/2,0)</f>
        <v>9250</v>
      </c>
      <c r="H18" s="12" t="s">
        <v>40</v>
      </c>
      <c r="I18" s="9">
        <f>E18</f>
        <v>6500</v>
      </c>
      <c r="J18" s="13" t="s">
        <v>30</v>
      </c>
      <c r="K18" s="14" t="s">
        <v>31</v>
      </c>
    </row>
    <row r="19" ht="24" customHeight="1" spans="1:11" x14ac:dyDescent="0.25">
      <c r="A19" s="11">
        <v>16</v>
      </c>
      <c r="B19" s="7" t="s">
        <v>15</v>
      </c>
      <c r="C19" s="7" t="s">
        <v>68</v>
      </c>
      <c r="D19" s="7" t="s">
        <v>69</v>
      </c>
      <c r="E19" s="9">
        <v>1000</v>
      </c>
      <c r="F19" s="9">
        <v>1000</v>
      </c>
      <c r="G19" s="9">
        <f>ROUND((E19+F19)/2,0)</f>
        <v>1000</v>
      </c>
      <c r="H19" s="12" t="s">
        <v>40</v>
      </c>
      <c r="I19" s="9">
        <f>E19</f>
        <v>1000</v>
      </c>
      <c r="J19" s="13" t="s">
        <v>30</v>
      </c>
      <c r="K19" s="14" t="s">
        <v>31</v>
      </c>
    </row>
    <row r="20" ht="24" customHeight="1" spans="1:11" x14ac:dyDescent="0.25">
      <c r="A20" s="11">
        <v>17</v>
      </c>
      <c r="B20" s="7" t="s">
        <v>15</v>
      </c>
      <c r="C20" s="7" t="s">
        <v>70</v>
      </c>
      <c r="D20" s="7" t="s">
        <v>59</v>
      </c>
      <c r="E20" s="9">
        <v>1600</v>
      </c>
      <c r="F20" s="9">
        <v>2500</v>
      </c>
      <c r="G20" s="9">
        <f>ROUND((E20+F20)/2,0)</f>
        <v>2050</v>
      </c>
      <c r="H20" s="12" t="s">
        <v>40</v>
      </c>
      <c r="I20" s="9">
        <f>E20</f>
        <v>1600</v>
      </c>
      <c r="J20" s="13" t="s">
        <v>30</v>
      </c>
      <c r="K20" s="14" t="s">
        <v>31</v>
      </c>
    </row>
    <row r="21" ht="24" customHeight="1" spans="1:11" x14ac:dyDescent="0.25">
      <c r="A21" s="11">
        <v>18</v>
      </c>
      <c r="B21" s="7" t="s">
        <v>15</v>
      </c>
      <c r="C21" s="7" t="s">
        <v>71</v>
      </c>
      <c r="D21" s="7" t="s">
        <v>72</v>
      </c>
      <c r="E21" s="9">
        <v>1200</v>
      </c>
      <c r="F21" s="9">
        <v>1200</v>
      </c>
      <c r="G21" s="9">
        <f>ROUND((E21+F21)/2,0)</f>
        <v>1200</v>
      </c>
      <c r="H21" s="12" t="s">
        <v>40</v>
      </c>
      <c r="I21" s="9">
        <f>E21</f>
        <v>1200</v>
      </c>
      <c r="J21" s="13" t="s">
        <v>30</v>
      </c>
      <c r="K21" s="14" t="s">
        <v>31</v>
      </c>
    </row>
    <row r="22" ht="24" customHeight="1" spans="1:11" x14ac:dyDescent="0.25">
      <c r="A22" s="11">
        <v>19</v>
      </c>
      <c r="B22" s="7" t="s">
        <v>15</v>
      </c>
      <c r="C22" s="7" t="s">
        <v>73</v>
      </c>
      <c r="D22" s="7" t="s">
        <v>59</v>
      </c>
      <c r="E22" s="9">
        <v>1600</v>
      </c>
      <c r="F22" s="9">
        <v>2500</v>
      </c>
      <c r="G22" s="9">
        <f>ROUND((E22+F22)/2,0)</f>
        <v>2050</v>
      </c>
      <c r="H22" s="12" t="s">
        <v>40</v>
      </c>
      <c r="I22" s="9">
        <f>E22</f>
        <v>1600</v>
      </c>
      <c r="J22" s="13" t="s">
        <v>30</v>
      </c>
      <c r="K22" s="14" t="s">
        <v>31</v>
      </c>
    </row>
    <row r="23" ht="24" customHeight="1" spans="1:11" x14ac:dyDescent="0.25">
      <c r="A23" s="11">
        <v>20</v>
      </c>
      <c r="B23" s="7" t="s">
        <v>16</v>
      </c>
      <c r="C23" s="7" t="s">
        <v>74</v>
      </c>
      <c r="D23" s="7" t="s">
        <v>75</v>
      </c>
      <c r="E23" s="9">
        <v>700</v>
      </c>
      <c r="F23" s="9">
        <v>13000</v>
      </c>
      <c r="G23" s="9">
        <f>ROUND((E23+F23)/2,0)</f>
        <v>6850</v>
      </c>
      <c r="H23" s="12" t="s">
        <v>76</v>
      </c>
      <c r="I23" s="9">
        <f>E23</f>
        <v>700</v>
      </c>
      <c r="J23" s="13" t="s">
        <v>30</v>
      </c>
      <c r="K23" s="14" t="s">
        <v>31</v>
      </c>
    </row>
    <row r="24" ht="24" customHeight="1" spans="1:11" x14ac:dyDescent="0.25">
      <c r="A24" s="11">
        <v>21</v>
      </c>
      <c r="B24" s="7" t="s">
        <v>16</v>
      </c>
      <c r="C24" s="7" t="s">
        <v>77</v>
      </c>
      <c r="D24" s="7" t="s">
        <v>78</v>
      </c>
      <c r="E24" s="9">
        <v>1000</v>
      </c>
      <c r="F24" s="9">
        <v>2800</v>
      </c>
      <c r="G24" s="9">
        <f>ROUND((E24+F24)/2,0)</f>
        <v>1900</v>
      </c>
      <c r="H24" s="12" t="s">
        <v>79</v>
      </c>
      <c r="I24" s="9">
        <f>E24</f>
        <v>1000</v>
      </c>
      <c r="J24" s="13" t="s">
        <v>30</v>
      </c>
      <c r="K24" s="14" t="s">
        <v>31</v>
      </c>
    </row>
    <row r="25" ht="24" customHeight="1" spans="1:11" x14ac:dyDescent="0.25">
      <c r="A25" s="11">
        <v>22</v>
      </c>
      <c r="B25" s="7" t="s">
        <v>16</v>
      </c>
      <c r="C25" s="7" t="s">
        <v>80</v>
      </c>
      <c r="D25" s="7" t="s">
        <v>81</v>
      </c>
      <c r="E25" s="9">
        <v>7000</v>
      </c>
      <c r="F25" s="9">
        <v>7000</v>
      </c>
      <c r="G25" s="9">
        <f>ROUND((E25+F25)/2,0)</f>
        <v>7000</v>
      </c>
      <c r="H25" s="12" t="s">
        <v>82</v>
      </c>
      <c r="I25" s="9">
        <f>E25</f>
        <v>7000</v>
      </c>
      <c r="J25" s="13" t="s">
        <v>30</v>
      </c>
      <c r="K25" s="14" t="s">
        <v>31</v>
      </c>
    </row>
    <row r="26" ht="24" customHeight="1" spans="1:11" x14ac:dyDescent="0.25">
      <c r="A26" s="11">
        <v>23</v>
      </c>
      <c r="B26" s="7" t="s">
        <v>16</v>
      </c>
      <c r="C26" s="7" t="s">
        <v>83</v>
      </c>
      <c r="D26" s="7" t="s">
        <v>59</v>
      </c>
      <c r="E26" s="9">
        <v>2000</v>
      </c>
      <c r="F26" s="9">
        <v>3500</v>
      </c>
      <c r="G26" s="9">
        <f>ROUND((E26+F26)/2,0)</f>
        <v>2750</v>
      </c>
      <c r="H26" s="12" t="s">
        <v>40</v>
      </c>
      <c r="I26" s="9">
        <f>E26</f>
        <v>2000</v>
      </c>
      <c r="J26" s="13" t="s">
        <v>30</v>
      </c>
      <c r="K26" s="14" t="s">
        <v>31</v>
      </c>
    </row>
    <row r="27" ht="24" customHeight="1" spans="1:11" x14ac:dyDescent="0.25">
      <c r="A27" s="11">
        <v>24</v>
      </c>
      <c r="B27" s="7" t="s">
        <v>16</v>
      </c>
      <c r="C27" s="7" t="s">
        <v>84</v>
      </c>
      <c r="D27" s="7" t="s">
        <v>85</v>
      </c>
      <c r="E27" s="9">
        <v>3000</v>
      </c>
      <c r="F27" s="9">
        <v>5000</v>
      </c>
      <c r="G27" s="9">
        <f>ROUND((E27+F27)/2,0)</f>
        <v>4000</v>
      </c>
      <c r="H27" s="12" t="s">
        <v>86</v>
      </c>
      <c r="I27" s="9">
        <f>E27</f>
        <v>3000</v>
      </c>
      <c r="J27" s="13" t="s">
        <v>30</v>
      </c>
      <c r="K27" s="14" t="s">
        <v>31</v>
      </c>
    </row>
    <row r="28" ht="24" customHeight="1" spans="1:11" x14ac:dyDescent="0.25">
      <c r="A28" s="11">
        <v>25</v>
      </c>
      <c r="B28" s="7" t="s">
        <v>16</v>
      </c>
      <c r="C28" s="7" t="s">
        <v>87</v>
      </c>
      <c r="D28" s="7" t="s">
        <v>88</v>
      </c>
      <c r="E28" s="9">
        <v>21800</v>
      </c>
      <c r="F28" s="9">
        <v>25000</v>
      </c>
      <c r="G28" s="9">
        <f>ROUND((E28+F28)/2,0)</f>
        <v>23400</v>
      </c>
      <c r="H28" s="12" t="s">
        <v>40</v>
      </c>
      <c r="I28" s="9">
        <f>E28</f>
        <v>21800</v>
      </c>
      <c r="J28" s="13" t="s">
        <v>30</v>
      </c>
      <c r="K28" s="14" t="s">
        <v>31</v>
      </c>
    </row>
    <row r="29" ht="24" customHeight="1" spans="1:11" x14ac:dyDescent="0.25">
      <c r="A29" s="11">
        <v>26</v>
      </c>
      <c r="B29" s="7" t="s">
        <v>16</v>
      </c>
      <c r="C29" s="7" t="s">
        <v>89</v>
      </c>
      <c r="D29" s="7" t="s">
        <v>90</v>
      </c>
      <c r="E29" s="9">
        <v>8000</v>
      </c>
      <c r="F29" s="9">
        <v>10000</v>
      </c>
      <c r="G29" s="9">
        <f>ROUND((E29+F29)/2,0)</f>
        <v>9000</v>
      </c>
      <c r="H29" s="12" t="s">
        <v>40</v>
      </c>
      <c r="I29" s="9">
        <f>E29</f>
        <v>8000</v>
      </c>
      <c r="J29" s="13" t="s">
        <v>30</v>
      </c>
      <c r="K29" s="14" t="s">
        <v>31</v>
      </c>
    </row>
    <row r="30" ht="24" customHeight="1" spans="1:11" x14ac:dyDescent="0.25">
      <c r="A30" s="11">
        <v>27</v>
      </c>
      <c r="B30" s="7" t="s">
        <v>17</v>
      </c>
      <c r="C30" s="7" t="s">
        <v>91</v>
      </c>
      <c r="D30" s="7" t="s">
        <v>92</v>
      </c>
      <c r="E30" s="9">
        <v>3000</v>
      </c>
      <c r="F30" s="9">
        <v>3000</v>
      </c>
      <c r="G30" s="9">
        <f>ROUND((E30+F30)/2,0)</f>
        <v>3000</v>
      </c>
      <c r="H30" s="12" t="s">
        <v>40</v>
      </c>
      <c r="I30" s="9">
        <f>E30</f>
        <v>3000</v>
      </c>
      <c r="J30" s="13" t="s">
        <v>30</v>
      </c>
      <c r="K30" s="14" t="s">
        <v>31</v>
      </c>
    </row>
    <row r="31" ht="24" customHeight="1" spans="1:11" x14ac:dyDescent="0.25">
      <c r="A31" s="11">
        <v>28</v>
      </c>
      <c r="B31" s="7" t="s">
        <v>17</v>
      </c>
      <c r="C31" s="7" t="s">
        <v>93</v>
      </c>
      <c r="D31" s="7" t="s">
        <v>94</v>
      </c>
      <c r="E31" s="9">
        <v>2500</v>
      </c>
      <c r="F31" s="9">
        <v>2500</v>
      </c>
      <c r="G31" s="9">
        <f>ROUND((E31+F31)/2,0)</f>
        <v>2500</v>
      </c>
      <c r="H31" s="12" t="s">
        <v>40</v>
      </c>
      <c r="I31" s="9">
        <f>E31</f>
        <v>2500</v>
      </c>
      <c r="J31" s="13" t="s">
        <v>30</v>
      </c>
      <c r="K31" s="14" t="s">
        <v>31</v>
      </c>
    </row>
    <row r="32" ht="24" customHeight="1" spans="1:11" x14ac:dyDescent="0.25">
      <c r="A32" s="11">
        <v>29</v>
      </c>
      <c r="B32" s="7" t="s">
        <v>17</v>
      </c>
      <c r="C32" s="7" t="s">
        <v>95</v>
      </c>
      <c r="D32" s="7" t="s">
        <v>96</v>
      </c>
      <c r="E32" s="9">
        <v>1400</v>
      </c>
      <c r="F32" s="9">
        <v>3300</v>
      </c>
      <c r="G32" s="9">
        <f>ROUND((E32+F32)/2,0)</f>
        <v>2350</v>
      </c>
      <c r="H32" s="12" t="s">
        <v>40</v>
      </c>
      <c r="I32" s="9">
        <f>E32</f>
        <v>1400</v>
      </c>
      <c r="J32" s="13" t="s">
        <v>30</v>
      </c>
      <c r="K32" s="14" t="s">
        <v>31</v>
      </c>
    </row>
    <row r="33" ht="24" customHeight="1" spans="1:11" x14ac:dyDescent="0.25">
      <c r="A33" s="11">
        <v>30</v>
      </c>
      <c r="B33" s="7" t="s">
        <v>18</v>
      </c>
      <c r="C33" s="7" t="s">
        <v>97</v>
      </c>
      <c r="D33" s="7" t="s">
        <v>59</v>
      </c>
      <c r="E33" s="9">
        <v>2000</v>
      </c>
      <c r="F33" s="9">
        <v>12000</v>
      </c>
      <c r="G33" s="9">
        <f>ROUND((E33+F33)/2,0)</f>
        <v>7000</v>
      </c>
      <c r="H33" s="12" t="s">
        <v>98</v>
      </c>
      <c r="I33" s="9">
        <f>E33</f>
        <v>2000</v>
      </c>
      <c r="J33" s="13" t="s">
        <v>30</v>
      </c>
      <c r="K33" s="14" t="s">
        <v>31</v>
      </c>
    </row>
    <row r="34" ht="24" customHeight="1" spans="1:11" x14ac:dyDescent="0.25">
      <c r="A34" s="11">
        <v>31</v>
      </c>
      <c r="B34" s="7" t="s">
        <v>18</v>
      </c>
      <c r="C34" s="7" t="s">
        <v>99</v>
      </c>
      <c r="D34" s="7" t="s">
        <v>100</v>
      </c>
      <c r="E34" s="9">
        <v>6000</v>
      </c>
      <c r="F34" s="9">
        <v>10000</v>
      </c>
      <c r="G34" s="9">
        <f>ROUND((E34+F34)/2,0)</f>
        <v>8000</v>
      </c>
      <c r="H34" s="12" t="s">
        <v>40</v>
      </c>
      <c r="I34" s="9">
        <f>E34</f>
        <v>6000</v>
      </c>
      <c r="J34" s="13" t="s">
        <v>30</v>
      </c>
      <c r="K34" s="14" t="s">
        <v>31</v>
      </c>
    </row>
  </sheetData>
  <autoFilter ref="A3:K34"/>
  <mergeCells count="2">
    <mergeCell ref="A1:K1"/>
    <mergeCell ref="A2:K2"/>
  </mergeCells>
  <hyperlinks>
    <hyperlink ref="J4" r:id="rId1"/>
    <hyperlink ref="K4" r:id="rId2"/>
    <hyperlink ref="J5" r:id="rId3"/>
    <hyperlink ref="K5" r:id="rId4"/>
    <hyperlink ref="J6" r:id="rId5"/>
    <hyperlink ref="K6" r:id="rId6"/>
    <hyperlink ref="J7" r:id="rId7"/>
    <hyperlink ref="K7" r:id="rId8"/>
    <hyperlink ref="J8" r:id="rId9"/>
    <hyperlink ref="K8" r:id="rId10"/>
    <hyperlink ref="J9" r:id="rId11"/>
    <hyperlink ref="K9" r:id="rId12"/>
    <hyperlink ref="J10" r:id="rId13"/>
    <hyperlink ref="K10" r:id="rId14"/>
    <hyperlink ref="J11" r:id="rId15"/>
    <hyperlink ref="K11" r:id="rId16"/>
    <hyperlink ref="J12" r:id="rId17"/>
    <hyperlink ref="K12" r:id="rId18"/>
    <hyperlink ref="J13" r:id="rId19"/>
    <hyperlink ref="K13" r:id="rId20"/>
    <hyperlink ref="J14" r:id="rId21"/>
    <hyperlink ref="K14" r:id="rId22"/>
    <hyperlink ref="J15" r:id="rId23"/>
    <hyperlink ref="K15" r:id="rId24"/>
    <hyperlink ref="J16" r:id="rId25"/>
    <hyperlink ref="K16" r:id="rId26"/>
    <hyperlink ref="J17" r:id="rId27"/>
    <hyperlink ref="K17" r:id="rId28"/>
    <hyperlink ref="J18" r:id="rId29"/>
    <hyperlink ref="K18" r:id="rId30"/>
    <hyperlink ref="J19" r:id="rId31"/>
    <hyperlink ref="K19" r:id="rId32"/>
    <hyperlink ref="J20" r:id="rId33"/>
    <hyperlink ref="K20" r:id="rId34"/>
    <hyperlink ref="J21" r:id="rId35"/>
    <hyperlink ref="K21" r:id="rId36"/>
    <hyperlink ref="J22" r:id="rId37"/>
    <hyperlink ref="K22" r:id="rId38"/>
    <hyperlink ref="J23" r:id="rId39"/>
    <hyperlink ref="K23" r:id="rId40"/>
    <hyperlink ref="J24" r:id="rId41"/>
    <hyperlink ref="K24" r:id="rId42"/>
    <hyperlink ref="J25" r:id="rId43"/>
    <hyperlink ref="K25" r:id="rId44"/>
    <hyperlink ref="J26" r:id="rId45"/>
    <hyperlink ref="K26" r:id="rId46"/>
    <hyperlink ref="J27" r:id="rId47"/>
    <hyperlink ref="K27" r:id="rId48"/>
    <hyperlink ref="J28" r:id="rId49"/>
    <hyperlink ref="K28" r:id="rId50"/>
    <hyperlink ref="J29" r:id="rId51"/>
    <hyperlink ref="K29" r:id="rId52"/>
    <hyperlink ref="J30" r:id="rId53"/>
    <hyperlink ref="K30" r:id="rId54"/>
    <hyperlink ref="J31" r:id="rId55"/>
    <hyperlink ref="K31" r:id="rId56"/>
    <hyperlink ref="J32" r:id="rId57"/>
    <hyperlink ref="K32" r:id="rId58"/>
    <hyperlink ref="J33" r:id="rId59"/>
    <hyperlink ref="K33" r:id="rId60"/>
    <hyperlink ref="J34" r:id="rId61"/>
    <hyperlink ref="K34" r:id="rId6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44" customWidth="1"/>
    <col min="3" max="3" width="28" customWidth="1"/>
    <col min="4" max="4" width="44" customWidth="1"/>
  </cols>
  <sheetData>
    <row r="1" ht="28" customHeight="1" spans="1:4" x14ac:dyDescent="0.25">
      <c r="A1" s="1" t="s">
        <v>101</v>
      </c>
      <c r="B1" s="1"/>
      <c r="C1" s="1"/>
      <c r="D1" s="1"/>
    </row>
    <row r="2" ht="32" customHeight="1" spans="1:4" x14ac:dyDescent="0.25">
      <c r="A2" s="2" t="s">
        <v>22</v>
      </c>
      <c r="B2" s="2"/>
      <c r="C2" s="2"/>
      <c r="D2" s="2"/>
    </row>
    <row r="3" spans="1:4" x14ac:dyDescent="0.25">
      <c r="A3" s="6" t="s">
        <v>102</v>
      </c>
      <c r="B3" s="6" t="s">
        <v>103</v>
      </c>
      <c r="C3" s="6" t="s">
        <v>104</v>
      </c>
      <c r="D3" s="6" t="s">
        <v>28</v>
      </c>
    </row>
    <row r="4" spans="1:4" x14ac:dyDescent="0.25">
      <c r="A4" s="7" t="s">
        <v>105</v>
      </c>
      <c r="B4" s="12" t="s">
        <v>106</v>
      </c>
      <c r="C4" s="7" t="s">
        <v>107</v>
      </c>
      <c r="D4" s="7" t="s">
        <v>108</v>
      </c>
    </row>
    <row r="5" spans="1:4" x14ac:dyDescent="0.25">
      <c r="A5" s="7" t="s">
        <v>109</v>
      </c>
      <c r="B5" s="12" t="s">
        <v>110</v>
      </c>
      <c r="C5" s="7" t="s">
        <v>111</v>
      </c>
      <c r="D5" s="7" t="s">
        <v>112</v>
      </c>
    </row>
    <row r="6" spans="1:4" x14ac:dyDescent="0.25">
      <c r="A6" s="7" t="s">
        <v>113</v>
      </c>
      <c r="B6" s="12" t="s">
        <v>114</v>
      </c>
      <c r="C6" s="7" t="s">
        <v>115</v>
      </c>
      <c r="D6" s="7" t="s">
        <v>116</v>
      </c>
    </row>
    <row r="7" spans="1:4" x14ac:dyDescent="0.25">
      <c r="A7" s="7"/>
      <c r="B7" s="7"/>
      <c r="C7" s="7"/>
      <c r="D7" s="7"/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Дашборд</vt:lpstr>
      <vt:lpstr>Прайс</vt:lpstr>
      <vt:lpstr>Источники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2026-09-25T16:02:27Z</dcterms:created>
  <dcterms:modified xsi:type="dcterms:W3CDTF">2026-09-25T16:02:27Z</dcterms:modified>
</cp:coreProperties>
</file>