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</sheets>
  <calcPr calcId="171027"/>
</workbook>
</file>

<file path=xl/sharedStrings.xml><?xml version="1.0" encoding="utf-8"?>
<sst xmlns="http://schemas.openxmlformats.org/spreadsheetml/2006/main" count="492" uniqueCount="251">
  <si>
    <t>Сводка по бу-запчастям Kia Rio 2019 1.4 Comfort</t>
  </si>
  <si>
    <t>Считается автоматически с листа «Прайс». Цены — диапазоны объявлений 2025–2026 гг., вся Россия.</t>
  </si>
  <si>
    <t>Позиций в таблице</t>
  </si>
  <si>
    <t>Категорий</t>
  </si>
  <si>
    <t>Позиций с ценой</t>
  </si>
  <si>
    <t>COUNTA('Прайс'!$C$4:$C$87)</t>
  </si>
  <si>
    <t>COUNTA('Дашборд'!$B$9:$B$15)</t>
  </si>
  <si>
    <t>COUNT('Прайс'!$E$4:$E$87)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</si>
  <si>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</si>
  <si>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</si>
  <si>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</si>
  <si>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</si>
  <si>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</si>
  <si>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</si>
  <si>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</si>
  <si>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</si>
  <si>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</si>
  <si>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</si>
  <si>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</si>
  <si>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</si>
  <si>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</si>
  <si>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</si>
  <si>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</si>
  <si>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 по всей России; итог зависит от состояния, региона и пробега донора.</t>
  </si>
  <si>
    <t>• «—» в колонке цены: публичные объявления с ценой не найдены — цена уточняется у конкретной разборки по телефону.</t>
  </si>
  <si>
    <t>• Kia Rio 2019 1.4 Comfort: двигатель G4LC (цепь ГРМ, ЭУР вместо ГУР, передний привод — заднего редуктора нет).</t>
  </si>
  <si>
    <t>• Данные: Avito, Дром (baza.drom.ru), агрегатор предложений разборок XBaz — сентябрь 2026.</t>
  </si>
  <si>
    <t>БУ-запчасти Kia Rio 2019 1.4 Comfort (4-е поколение, G4LC 100 л.с.)</t>
  </si>
  <si>
    <t>Актуальные цены российского рынка (Avito, Дром, XBaz-агрегатор разборок), сентябрь 2026. БУ = б/у, контрактные, снятые с авто. «—» — цена публично не подтверждена, уточнять у разборок.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</si>
  <si>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</si>
  <si>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</si>
  <si>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</si>
  <si>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</si>
  <si>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</si>
  <si>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</si>
  <si>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Двигатель в сборе (контрактный G4LC 1.4)</t>
  </si>
  <si>
    <t>G4LC</t>
  </si>
  <si>
    <t>Б/у контрактные 89–99 тыс.; новые контрактные до 120–135 тыс. (XBaz, Дром)</t>
  </si>
  <si>
    <t>ГБЦ в сборе (головка блока)</t>
  </si>
  <si>
    <t>G4LC/G4LA</t>
  </si>
  <si>
    <t>В сборе, Recyрс Москва (Дром)</t>
  </si>
  <si>
    <t>Блок цилиндров</t>
  </si>
  <si>
    <t>2110003940</t>
  </si>
  <si>
    <t>Rio 4 2019 ~15 тыс. (Ярославль); перебор 9–25,7 тыс. (Дром)</t>
  </si>
  <si>
    <t>Поддон двигателя</t>
  </si>
  <si>
    <t>2113503920</t>
  </si>
  <si>
    <t>Полуподдон 8–10 тыс.; поддон 13,6–16,2 тыс. (Дром)</t>
  </si>
  <si>
    <t>Клапанная крышка</t>
  </si>
  <si>
    <t>Оригинал б/у (Avito)</t>
  </si>
  <si>
    <t>Форсунки (1 шт / комплект)</t>
  </si>
  <si>
    <t>1.4 G4LC</t>
  </si>
  <si>
    <t>—</t>
  </si>
  <si>
    <t>Бу-цены не публикуются, по запросу разборок</t>
  </si>
  <si>
    <t>Топливный насос (модуль в баке)</t>
  </si>
  <si>
    <t>311104L000</t>
  </si>
  <si>
    <t>Цены по запросу разборок</t>
  </si>
  <si>
    <t>Датчик расхода воздуха (MAF)</t>
  </si>
  <si>
    <t>1.6 G4FG совм.</t>
  </si>
  <si>
    <t>Для 1.4 G4LC уточнять (Avito)</t>
  </si>
  <si>
    <t>Датчики (коленвала/детонации/темп.)</t>
  </si>
  <si>
    <t>1.4</t>
  </si>
  <si>
    <t>Детонация 270 ₽; коленвал 1,8–2,5 тыс. (Avito, Inycar)</t>
  </si>
  <si>
    <t>Дроссельная заслонка</t>
  </si>
  <si>
    <t>Впускной коллектор (ресивер)</t>
  </si>
  <si>
    <t>Водяной насос (помпа)</t>
  </si>
  <si>
    <t>Как правило меняется на новый</t>
  </si>
  <si>
    <t>Термостат в сборе</t>
  </si>
  <si>
    <t>Радиатор охлаждения</t>
  </si>
  <si>
    <t>25310H5000</t>
  </si>
  <si>
    <t>Частные объявления (Avito)</t>
  </si>
  <si>
    <t>Вентилятор охлаждения (с кожухом)</t>
  </si>
  <si>
    <t>Патрубки/шланги охлаждения</t>
  </si>
  <si>
    <t>Обычно новые</t>
  </si>
  <si>
    <t>Катушка зажигания (1 шт)</t>
  </si>
  <si>
    <t>2730103200</t>
  </si>
  <si>
    <t>Ориентир контракт/новые; бу уточнять (Avito)</t>
  </si>
  <si>
    <t>Цепь ГРМ (комплект)</t>
  </si>
  <si>
    <t>Привод цепной; бу почти не встречается, меняется на новый</t>
  </si>
  <si>
    <t>Генератор (бу/восстановленный)</t>
  </si>
  <si>
    <t>37300-03870</t>
  </si>
  <si>
    <t>Много предложений, цены по запросу (Avito)</t>
  </si>
  <si>
    <t>Стартер (бу/восстановленный)</t>
  </si>
  <si>
    <t>36100-03853</t>
  </si>
  <si>
    <t>Контрактные в наличии, цена по запросу</t>
  </si>
  <si>
    <t>Компрессор кондиционера</t>
  </si>
  <si>
    <t>97701H5000</t>
  </si>
  <si>
    <t>В рублях не подтверждена, уточнять</t>
  </si>
  <si>
    <t>Катализатор (снятый небитый)</t>
  </si>
  <si>
    <t>1.4/1.6</t>
  </si>
  <si>
    <t>Avito (с Рио 1.6, 170 тыс. км)</t>
  </si>
  <si>
    <t>Выпускной коллектор (с катализатором)</t>
  </si>
  <si>
    <t>Резонатор / глушитель в сборе</t>
  </si>
  <si>
    <t>28600H5100</t>
  </si>
  <si>
    <t>1.4 G4LC 4,1–9 тыс.; до 15 тыс. (Дром)</t>
  </si>
  <si>
    <t>Масляный насос</t>
  </si>
  <si>
    <t>2131003800</t>
  </si>
  <si>
    <t>Оригинал; бу-цена не подтверждена (клуб)</t>
  </si>
  <si>
    <t>Радиатор отопителя (печки)</t>
  </si>
  <si>
    <t>Новый аналог 5 310 ₽; бу дешевле (Avito)</t>
  </si>
  <si>
    <t>Моторчик отопителя (печки)</t>
  </si>
  <si>
    <t>Моторчик 2 222 ₽; корпус печки 5–5,6 тыс. (Avito)</t>
  </si>
  <si>
    <t>Выпускной коллектор</t>
  </si>
  <si>
    <t>Уточнять у разборок</t>
  </si>
  <si>
    <t>АКПП 6-ст (A6GF1, контракт)</t>
  </si>
  <si>
    <t>A6GF1</t>
  </si>
  <si>
    <t>Rio 4 2019 1.4 — 99,9–100 тыс. (XBaz, Дром)</t>
  </si>
  <si>
    <t>МКПП 6-ст (б/у)</t>
  </si>
  <si>
    <t>M6CF1</t>
  </si>
  <si>
    <t>Avito (2017–2022, 1.4 G4LC)</t>
  </si>
  <si>
    <t>Сцепление (комплект, б/у)</t>
  </si>
  <si>
    <t>Бу 3,9 тыс. (справочно 1.4); новый аналог 9,5 тыс.</t>
  </si>
  <si>
    <t>Полуоси (приводы)</t>
  </si>
  <si>
    <t>49500H0300</t>
  </si>
  <si>
    <t>Цены по запросу; новые от ~9,2 тыс.</t>
  </si>
  <si>
    <t>ШРУС</t>
  </si>
  <si>
    <t>Редуктор заднего моста</t>
  </si>
  <si>
    <t>Не применимо — передний привод</t>
  </si>
  <si>
    <t>Рычаг передний нижний</t>
  </si>
  <si>
    <t>54500H5000</t>
  </si>
  <si>
    <t>Оригинал б/у есть, цена по запросу</t>
  </si>
  <si>
    <t>Сайлентблоки / шаровые</t>
  </si>
  <si>
    <t>54584H5000</t>
  </si>
  <si>
    <t>Бу рынок не распространён — обычно новые</t>
  </si>
  <si>
    <t>Амортизатор передний</t>
  </si>
  <si>
    <t>Бу от 1,5 тыс. (Avito); контракт до 4 тыс.</t>
  </si>
  <si>
    <t>Амортизатор задний</t>
  </si>
  <si>
    <t>55300H5050</t>
  </si>
  <si>
    <t>Пружины передние / задние</t>
  </si>
  <si>
    <t>Бу редки, обычно новые</t>
  </si>
  <si>
    <t>Стойки стабилизатора</t>
  </si>
  <si>
    <t>Бу редки; новые от ~700 ₽</t>
  </si>
  <si>
    <t>Подшипник ступицы</t>
  </si>
  <si>
    <t>Рулевая рейка (восст.)</t>
  </si>
  <si>
    <t>577004L000</t>
  </si>
  <si>
    <t>Предложения есть, цена по запросу</t>
  </si>
  <si>
    <t>Электроусилитель ЭУР (колонка)</t>
  </si>
  <si>
    <t>56300H0760</t>
  </si>
  <si>
    <t>Бу, пробег 44 тыс. (Дром)</t>
  </si>
  <si>
    <t>Рулевые тяги и наконечники</t>
  </si>
  <si>
    <t>Передний подрамник</t>
  </si>
  <si>
    <t>62401H5000</t>
  </si>
  <si>
    <t>Балка задней подвески</t>
  </si>
  <si>
    <t>55100H5300</t>
  </si>
  <si>
    <t>Суппорт передний (б/у)</t>
  </si>
  <si>
    <t>58130H5250</t>
  </si>
  <si>
    <t>Rio 4 2019 ~1,5–3,6 тыс./шт (Дром, Тюмень/Саратов)</t>
  </si>
  <si>
    <t>Суппорт задний (б/у)</t>
  </si>
  <si>
    <t>Один 1,5–4 тыс.; пара 7–8,2 тыс. (Дром)</t>
  </si>
  <si>
    <t>Тормозные диски (б/у)</t>
  </si>
  <si>
    <t>Вакуумный усилитель / ГТЦ</t>
  </si>
  <si>
    <t>Блок ABS</t>
  </si>
  <si>
    <t>58920H5220</t>
  </si>
  <si>
    <t>Rio 4 1.4 G4LC 3,6–7,5 тыс. (Фарпост)</t>
  </si>
  <si>
    <t>Подушка делителя / шланги тормозные</t>
  </si>
  <si>
    <t>Фара передняя (б/у)</t>
  </si>
  <si>
    <t>дорест/рест</t>
  </si>
  <si>
    <t>Дорест с корректором 7 тыс.; рест 14–15 тыс. (XBaz)</t>
  </si>
  <si>
    <t>Задний фонарь (б/у, за шт)</t>
  </si>
  <si>
    <t>Sedan</t>
  </si>
  <si>
    <t>Лев 9,5 тыс.; прав дорест 5 тыс. (XBaz)</t>
  </si>
  <si>
    <t>Капот (б/у)</t>
  </si>
  <si>
    <t>Под ремонт 4–6,5 тыс.; чистый 15–25 тыс. (XBaz)</t>
  </si>
  <si>
    <t>Крыло переднее (б/у)</t>
  </si>
  <si>
    <t>Под ремонт 2–5 тыс.; норма 9,9–24 тыс. (XBaz)</t>
  </si>
  <si>
    <t>Бампер передний (б/у)</t>
  </si>
  <si>
    <t>дорест/X-Line</t>
  </si>
  <si>
    <t>Оригинал 4–9,5 тыс.; X-Line 8–12 тыс. (XBaz)</t>
  </si>
  <si>
    <t>Бампер задний (б/у)</t>
  </si>
  <si>
    <t>С дефектом 5–8 тыс.; рест X с ПТФ 25,5 тыс. (XBaz)</t>
  </si>
  <si>
    <t>Дверь передняя (б/у)</t>
  </si>
  <si>
    <t>С дефектом от 11 тыс.; хорошее 55–65 тыс. (XBaz)</t>
  </si>
  <si>
    <t>Дверь задняя (б/у)</t>
  </si>
  <si>
    <t>~40 тыс. (XBaz)</t>
  </si>
  <si>
    <t>Лобовое стекло (снятое)</t>
  </si>
  <si>
    <t>Без обогрева 2–4 тыс.; с полным обогревом до 15,5 тыс. (XBaz)</t>
  </si>
  <si>
    <t>Боковое зеркало (электропривод)</t>
  </si>
  <si>
    <t>Оригинал б/у левое ~2 тыс. (XBaz)</t>
  </si>
  <si>
    <t>Решётка радиатора (б/у)</t>
  </si>
  <si>
    <t>С дефектами 1–3,5 тыс.; X-Line хром 6–10,5 тыс.</t>
  </si>
  <si>
    <t>Крышка багажника / спойлер</t>
  </si>
  <si>
    <t>Крышка 20–25 тыс.; спойлер от 1,3 тыс. (XBaz)</t>
  </si>
  <si>
    <t>Молдинги / хром-накладки</t>
  </si>
  <si>
    <t>X-Line</t>
  </si>
  <si>
    <t>За шт (XBaz)</t>
  </si>
  <si>
    <t>Подкрылки (локеры)</t>
  </si>
  <si>
    <t>рест</t>
  </si>
  <si>
    <t>XBaz</t>
  </si>
  <si>
    <t>Блок управления двигателем (ECU)</t>
  </si>
  <si>
    <t>Ярославль/Новосибирск (XBaz)</t>
  </si>
  <si>
    <t>Моторчик стеклоподъёмника</t>
  </si>
  <si>
    <t>Передние/задние (XBaz)</t>
  </si>
  <si>
    <t>Мотор отопителя / корпус печки</t>
  </si>
  <si>
    <t>Моторчик 3,1–3,5 тыс.; корпус 5–5,6 тыс. (XBaz)</t>
  </si>
  <si>
    <t>Трапеция стеклоочистителя с мотором</t>
  </si>
  <si>
    <t>Обычно 3,5–6 тыс. (XBaz)</t>
  </si>
  <si>
    <t>Замок двери с актуатором</t>
  </si>
  <si>
    <t>Задние 2,2–5,5 тыс.; передние 4,5–8,5 тыс. (XBaz)</t>
  </si>
  <si>
    <t>Замок зажигания / кнопка пуска</t>
  </si>
  <si>
    <t>Без ключа от 0,7 тыс.; с ключом 4–8 тыс. (XBaz)</t>
  </si>
  <si>
    <t>Панель приборов</t>
  </si>
  <si>
    <t>Обычно 4–5 тыс. (XBaz)</t>
  </si>
  <si>
    <t>Жгут проводки</t>
  </si>
  <si>
    <t>Фонари 1,7 тыс.; салон 5 тыс. (Дром/XBaz)</t>
  </si>
  <si>
    <t>Мультимедиа (штатное ГУ)</t>
  </si>
  <si>
    <t>Без навигации 2,5–4,7 тыс.; с навигацией 16–20 тыс. (XBaz)</t>
  </si>
  <si>
    <t>Датчики парковки</t>
  </si>
  <si>
    <t>За шт 1–3,9 тыс.; парктроник в сборе 2–7 тыс. (XBaz)</t>
  </si>
  <si>
    <t>Сиденье переднее (в сборе)</t>
  </si>
  <si>
    <t>Оригинал б/у с подогревом (XBaz)</t>
  </si>
  <si>
    <t>Задний диван</t>
  </si>
  <si>
    <t>Комплект б/у (XBaz)</t>
  </si>
  <si>
    <t>Подушка безопасности (airbag)</t>
  </si>
  <si>
    <t>Комплект б/у 35 тыс.; муляж/заглушка 1–3 тыс. (XBaz/Avito)</t>
  </si>
  <si>
    <t>Руль (с подушкой / без)</t>
  </si>
  <si>
    <t>С обогревом 10–15 тыс.; кожа/Red-Line 19–23 тыс. (XBaz)</t>
  </si>
  <si>
    <t>Обшивка торпедо</t>
  </si>
  <si>
    <t>дорест</t>
  </si>
  <si>
    <t>С трещиной 7 тыс.; с подушками до 45 тыс. (XBaz)</t>
  </si>
  <si>
    <t>Дверные карты / обшивки</t>
  </si>
  <si>
    <t>Передние 1,9–2,5 тыс.; задние 1,5–3,5 тыс. (XBaz)</t>
  </si>
  <si>
    <t>Обивка потолка</t>
  </si>
  <si>
    <t>FB 2019</t>
  </si>
  <si>
    <t>Обивка багажника</t>
  </si>
  <si>
    <t>Источники и площадки поиска</t>
  </si>
  <si>
    <t>Цены собраны из публичных объявлений и каталогов разборок 2025–2026 гг.</t>
  </si>
  <si>
    <t>Площадка</t>
  </si>
  <si>
    <t>Что искать</t>
  </si>
  <si>
    <t>Тип</t>
  </si>
  <si>
    <t>Avito</t>
  </si>
  <si>
    <t>Любые бу-запчасти Rio 4</t>
  </si>
  <si>
    <t>Доска объявлений</t>
  </si>
  <si>
    <t>Основной источник наличия; часть цен скрыта в объявлениях</t>
  </si>
  <si>
    <t>Дром / baza.drom.ru</t>
  </si>
  <si>
    <t>Двигатель, ГБЦ, суппорта, ЭУР, блок ABS, резонатор</t>
  </si>
  <si>
    <t>База объявлений</t>
  </si>
  <si>
    <t>Конкретные цены от разборок, вся Россия</t>
  </si>
  <si>
    <t>XBaz (xbaz.ru)</t>
  </si>
  <si>
    <t>Кузов, оптика, электрика, салон, ECU</t>
  </si>
  <si>
    <t>Агрегатор разборок</t>
  </si>
  <si>
    <t>Сводит предложения Kar Market, SPART, ZapMap, Прогресс и др.</t>
  </si>
  <si>
    <t>Фарпост (farpost.ru)</t>
  </si>
  <si>
    <t>Блок ABS, электроника</t>
  </si>
  <si>
    <t>Контрактные запчасти</t>
  </si>
  <si>
    <t>X-BAZ — каталог Rio 4</t>
  </si>
  <si>
    <t>Все категории</t>
  </si>
  <si>
    <t>Агрегатор</t>
  </si>
  <si>
    <t>ak-riq 4 поколение 2016–2026</t>
  </si>
  <si>
    <t>Магазины (Inycar, sloboda-avto, rioclub)</t>
  </si>
  <si>
    <t>Датчики, стартер, масляный насос</t>
  </si>
  <si>
    <t>Магазин/клуб</t>
  </si>
  <si>
    <t>Ориентир цен, в т.ч. новые аналоги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</si>
</sst>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 t="s">
        <v>5</v>
      </c>
      <c r="C4" s="4" t="s">
        <v>6</v>
      </c>
      <c r="E4" s="4" t="s">
        <v>7</v>
      </c>
    </row>
    <row r="8" spans="1:1" x14ac:dyDescent="0.25">
      <c r="A8" s="5" t="s">
        <v>8</v>
      </c>
    </row>
    <row r="9" spans="1:6" x14ac:dyDescent="0.25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</row>
    <row r="10" spans="1:6" x14ac:dyDescent="0.25">
      <c r="A10" s="7" t="s">
        <v>15</v>
      </c>
      <c r="B10" s="8">
        <f>COUNTIF('Прайс'!$B$4:$B$87,A10)</f>
      </c>
      <c r="C10" s="9">
        <f>AVERAGEIF('Прайс'!$B$4:$B$87,A10,'Прайс'!$E$4:$E$87)</f>
      </c>
      <c r="D10" s="9">
        <f>AVERAGEIF('Прайс'!$B$4:$B$87,A10,'Прайс'!$F$4:$F$87)</f>
      </c>
      <c r="E10" s="9">
        <f>ROUND((C10+D10)/2,0)</f>
      </c>
      <c r="F10" s="9">
        <f>D10-C10</f>
      </c>
    </row>
    <row r="11" spans="1:6" x14ac:dyDescent="0.25">
      <c r="A11" s="7" t="s">
        <v>16</v>
      </c>
      <c r="B11" s="8">
        <f>COUNTIF('Прайс'!$B$4:$B$87,A11)</f>
      </c>
      <c r="C11" s="9">
        <f>AVERAGEIF('Прайс'!$B$4:$B$87,A11,'Прайс'!$E$4:$E$87)</f>
      </c>
      <c r="D11" s="9">
        <f>AVERAGEIF('Прайс'!$B$4:$B$87,A11,'Прайс'!$F$4:$F$87)</f>
      </c>
      <c r="E11" s="9">
        <f>ROUND((C11+D11)/2,0)</f>
      </c>
      <c r="F11" s="9">
        <f>D11-C11</f>
      </c>
    </row>
    <row r="12" spans="1:6" x14ac:dyDescent="0.25">
      <c r="A12" s="7" t="s">
        <v>17</v>
      </c>
      <c r="B12" s="8">
        <f>COUNTIF('Прайс'!$B$4:$B$87,A12)</f>
      </c>
      <c r="C12" s="9">
        <f>AVERAGEIF('Прайс'!$B$4:$B$87,A12,'Прайс'!$E$4:$E$87)</f>
      </c>
      <c r="D12" s="9">
        <f>AVERAGEIF('Прайс'!$B$4:$B$87,A12,'Прайс'!$F$4:$F$87)</f>
      </c>
      <c r="E12" s="9">
        <f>ROUND((C12+D12)/2,0)</f>
      </c>
      <c r="F12" s="9">
        <f>D12-C12</f>
      </c>
    </row>
    <row r="13" spans="1:6" x14ac:dyDescent="0.25">
      <c r="A13" s="7" t="s">
        <v>18</v>
      </c>
      <c r="B13" s="8">
        <f>COUNTIF('Прайс'!$B$4:$B$87,A13)</f>
      </c>
      <c r="C13" s="9">
        <f>AVERAGEIF('Прайс'!$B$4:$B$87,A13,'Прайс'!$E$4:$E$87)</f>
      </c>
      <c r="D13" s="9">
        <f>AVERAGEIF('Прайс'!$B$4:$B$87,A13,'Прайс'!$F$4:$F$87)</f>
      </c>
      <c r="E13" s="9">
        <f>ROUND((C13+D13)/2,0)</f>
      </c>
      <c r="F13" s="9">
        <f>D13-C13</f>
      </c>
    </row>
    <row r="14" spans="1:6" x14ac:dyDescent="0.25">
      <c r="A14" s="7" t="s">
        <v>19</v>
      </c>
      <c r="B14" s="8">
        <f>COUNTIF('Прайс'!$B$4:$B$87,A14)</f>
      </c>
      <c r="C14" s="9">
        <f>AVERAGEIF('Прайс'!$B$4:$B$87,A14,'Прайс'!$E$4:$E$87)</f>
      </c>
      <c r="D14" s="9">
        <f>AVERAGEIF('Прайс'!$B$4:$B$87,A14,'Прайс'!$F$4:$F$87)</f>
      </c>
      <c r="E14" s="9">
        <f>ROUND((C14+D14)/2,0)</f>
      </c>
      <c r="F14" s="9">
        <f>D14-C14</f>
      </c>
    </row>
    <row r="15" spans="1:6" x14ac:dyDescent="0.25">
      <c r="A15" s="7" t="s">
        <v>20</v>
      </c>
      <c r="B15" s="8">
        <f>COUNTIF('Прайс'!$B$4:$B$87,A15)</f>
      </c>
      <c r="C15" s="9">
        <f>AVERAGEIF('Прайс'!$B$4:$B$87,A15,'Прайс'!$E$4:$E$87)</f>
      </c>
      <c r="D15" s="9">
        <f>AVERAGEIF('Прайс'!$B$4:$B$87,A15,'Прайс'!$F$4:$F$87)</f>
      </c>
      <c r="E15" s="9">
        <f>ROUND((C15+D15)/2,0)</f>
      </c>
      <c r="F15" s="9">
        <f>D15-C15</f>
      </c>
    </row>
    <row r="16" spans="1:6" x14ac:dyDescent="0.25">
      <c r="A16" s="7" t="s">
        <v>21</v>
      </c>
      <c r="B16" s="8">
        <f>COUNTIF('Прайс'!$B$4:$B$87,A16)</f>
      </c>
      <c r="C16" s="9">
        <f>AVERAGEIF('Прайс'!$B$4:$B$87,A16,'Прайс'!$E$4:$E$87)</f>
      </c>
      <c r="D16" s="9">
        <f>AVERAGEIF('Прайс'!$B$4:$B$87,A16,'Прайс'!$F$4:$F$87)</f>
      </c>
      <c r="E16" s="9">
        <f>ROUND((C16+D16)/2,0)</f>
      </c>
      <c r="F16" s="9">
        <f>D16-C16</f>
      </c>
    </row>
    <row r="18" spans="1:1" x14ac:dyDescent="0.25">
      <c r="A18" s="5" t="s">
        <v>22</v>
      </c>
    </row>
    <row r="19" spans="1:1" x14ac:dyDescent="0.25">
      <c r="A19" s="10" t="s">
        <v>23</v>
      </c>
    </row>
    <row r="20" spans="1:1" x14ac:dyDescent="0.25">
      <c r="A20" s="10" t="s">
        <v>24</v>
      </c>
    </row>
    <row r="21" spans="1:1" x14ac:dyDescent="0.25">
      <c r="A21" s="10" t="s">
        <v>25</v>
      </c>
    </row>
    <row r="22" spans="1:1" x14ac:dyDescent="0.25">
      <c r="A22" s="10" t="s">
        <v>26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{9105DE6D-D270-43E3-92F3-C8637314430B}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05DE6D-D270-43E3-92F3-C8637314430B}">
            <x14:dataBar minLength="0" maxLength="100">
              <x14:cfvo type="min"/>
              <x14:cfvo type="max"/>
            </x14:dataBar>
          </x14:cfRule>
          <xm:sqref>E10:E16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60" customWidth="1"/>
  </cols>
  <sheetData>
    <row r="1" ht="28" customHeight="1" spans="1:8" x14ac:dyDescent="0.25">
      <c r="A1" s="1" t="s">
        <v>27</v>
      </c>
      <c r="B1" s="1"/>
      <c r="C1" s="1"/>
      <c r="D1" s="1"/>
      <c r="E1" s="1"/>
      <c r="F1" s="1"/>
      <c r="G1" s="1"/>
      <c r="H1" s="1"/>
    </row>
    <row r="2" ht="32" customHeight="1" spans="1:8" x14ac:dyDescent="0.25">
      <c r="A2" s="2" t="s">
        <v>28</v>
      </c>
      <c r="B2" s="2"/>
      <c r="C2" s="2"/>
      <c r="D2" s="2"/>
      <c r="E2" s="2"/>
      <c r="F2" s="2"/>
      <c r="G2" s="2"/>
      <c r="H2" s="2"/>
    </row>
    <row r="3" spans="1:8" x14ac:dyDescent="0.25">
      <c r="A3" s="6" t="s">
        <v>29</v>
      </c>
      <c r="B3" s="6" t="s">
        <v>9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13</v>
      </c>
      <c r="H3" s="6" t="s">
        <v>34</v>
      </c>
    </row>
    <row r="4" ht="24" customHeight="1" spans="1:8" x14ac:dyDescent="0.25">
      <c r="A4" s="11">
        <v>1</v>
      </c>
      <c r="B4" s="7" t="s">
        <v>15</v>
      </c>
      <c r="C4" s="7" t="s">
        <v>35</v>
      </c>
      <c r="D4" s="7" t="s">
        <v>36</v>
      </c>
      <c r="E4" s="9">
        <v>89000</v>
      </c>
      <c r="F4" s="9">
        <v>135000</v>
      </c>
      <c r="G4" s="9">
        <f>ROUND((E4+F4)/2,0)</f>
      </c>
      <c r="H4" s="7" t="s">
        <v>37</v>
      </c>
    </row>
    <row r="5" ht="24" customHeight="1" spans="1:8" x14ac:dyDescent="0.25">
      <c r="A5" s="11">
        <v>2</v>
      </c>
      <c r="B5" s="7" t="s">
        <v>15</v>
      </c>
      <c r="C5" s="7" t="s">
        <v>38</v>
      </c>
      <c r="D5" s="7" t="s">
        <v>39</v>
      </c>
      <c r="E5" s="9">
        <v>30900</v>
      </c>
      <c r="F5" s="9">
        <v>30900</v>
      </c>
      <c r="G5" s="9">
        <f>ROUND((E5+F5)/2,0)</f>
      </c>
      <c r="H5" s="7" t="s">
        <v>40</v>
      </c>
    </row>
    <row r="6" ht="24" customHeight="1" spans="1:8" x14ac:dyDescent="0.25">
      <c r="A6" s="11">
        <v>3</v>
      </c>
      <c r="B6" s="7" t="s">
        <v>15</v>
      </c>
      <c r="C6" s="7" t="s">
        <v>41</v>
      </c>
      <c r="D6" s="7" t="s">
        <v>42</v>
      </c>
      <c r="E6" s="9">
        <v>9000</v>
      </c>
      <c r="F6" s="9">
        <v>25700</v>
      </c>
      <c r="G6" s="9">
        <f>ROUND((E6+F6)/2,0)</f>
      </c>
      <c r="H6" s="7" t="s">
        <v>43</v>
      </c>
    </row>
    <row r="7" ht="24" customHeight="1" spans="1:8" x14ac:dyDescent="0.25">
      <c r="A7" s="11">
        <v>4</v>
      </c>
      <c r="B7" s="7" t="s">
        <v>15</v>
      </c>
      <c r="C7" s="7" t="s">
        <v>44</v>
      </c>
      <c r="D7" s="7" t="s">
        <v>45</v>
      </c>
      <c r="E7" s="9">
        <v>8000</v>
      </c>
      <c r="F7" s="9">
        <v>16200</v>
      </c>
      <c r="G7" s="9">
        <f>ROUND((E7+F7)/2,0)</f>
      </c>
      <c r="H7" s="7" t="s">
        <v>46</v>
      </c>
    </row>
    <row r="8" ht="24" customHeight="1" spans="1:8" x14ac:dyDescent="0.25">
      <c r="A8" s="11">
        <v>5</v>
      </c>
      <c r="B8" s="7" t="s">
        <v>15</v>
      </c>
      <c r="C8" s="7" t="s">
        <v>47</v>
      </c>
      <c r="D8" s="7" t="s">
        <v>36</v>
      </c>
      <c r="E8" s="9">
        <v>5500</v>
      </c>
      <c r="F8" s="9">
        <v>5500</v>
      </c>
      <c r="G8" s="9">
        <f>ROUND((E8+F8)/2,0)</f>
      </c>
      <c r="H8" s="7" t="s">
        <v>48</v>
      </c>
    </row>
    <row r="9" ht="24" customHeight="1" spans="1:8" x14ac:dyDescent="0.25">
      <c r="A9" s="11">
        <v>6</v>
      </c>
      <c r="B9" s="7" t="s">
        <v>15</v>
      </c>
      <c r="C9" s="7" t="s">
        <v>49</v>
      </c>
      <c r="D9" s="7" t="s">
        <v>50</v>
      </c>
      <c r="E9" s="12" t="s">
        <v>51</v>
      </c>
      <c r="F9" s="12" t="s">
        <v>51</v>
      </c>
      <c r="G9" s="12" t="s">
        <v>51</v>
      </c>
      <c r="H9" s="7" t="s">
        <v>52</v>
      </c>
    </row>
    <row r="10" ht="24" customHeight="1" spans="1:8" x14ac:dyDescent="0.25">
      <c r="A10" s="11">
        <v>7</v>
      </c>
      <c r="B10" s="7" t="s">
        <v>15</v>
      </c>
      <c r="C10" s="7" t="s">
        <v>53</v>
      </c>
      <c r="D10" s="7" t="s">
        <v>54</v>
      </c>
      <c r="E10" s="12" t="s">
        <v>51</v>
      </c>
      <c r="F10" s="12" t="s">
        <v>51</v>
      </c>
      <c r="G10" s="12" t="s">
        <v>51</v>
      </c>
      <c r="H10" s="7" t="s">
        <v>55</v>
      </c>
    </row>
    <row r="11" ht="24" customHeight="1" spans="1:8" x14ac:dyDescent="0.25">
      <c r="A11" s="11">
        <v>8</v>
      </c>
      <c r="B11" s="7" t="s">
        <v>15</v>
      </c>
      <c r="C11" s="7" t="s">
        <v>56</v>
      </c>
      <c r="D11" s="7" t="s">
        <v>57</v>
      </c>
      <c r="E11" s="9">
        <v>1000</v>
      </c>
      <c r="F11" s="9">
        <v>1500</v>
      </c>
      <c r="G11" s="9">
        <f>ROUND((E11+F11)/2,0)</f>
      </c>
      <c r="H11" s="7" t="s">
        <v>58</v>
      </c>
    </row>
    <row r="12" ht="24" customHeight="1" spans="1:8" x14ac:dyDescent="0.25">
      <c r="A12" s="11">
        <v>9</v>
      </c>
      <c r="B12" s="7" t="s">
        <v>15</v>
      </c>
      <c r="C12" s="7" t="s">
        <v>59</v>
      </c>
      <c r="D12" s="7" t="s">
        <v>60</v>
      </c>
      <c r="E12" s="9">
        <v>270</v>
      </c>
      <c r="F12" s="9">
        <v>2500</v>
      </c>
      <c r="G12" s="9">
        <f>ROUND((E12+F12)/2,0)</f>
      </c>
      <c r="H12" s="7" t="s">
        <v>61</v>
      </c>
    </row>
    <row r="13" ht="24" customHeight="1" spans="1:8" x14ac:dyDescent="0.25">
      <c r="A13" s="11">
        <v>10</v>
      </c>
      <c r="B13" s="7" t="s">
        <v>15</v>
      </c>
      <c r="C13" s="7" t="s">
        <v>62</v>
      </c>
      <c r="D13" s="7" t="s">
        <v>36</v>
      </c>
      <c r="E13" s="12" t="s">
        <v>51</v>
      </c>
      <c r="F13" s="12" t="s">
        <v>51</v>
      </c>
      <c r="G13" s="12" t="s">
        <v>51</v>
      </c>
      <c r="H13" s="7" t="s">
        <v>55</v>
      </c>
    </row>
    <row r="14" ht="24" customHeight="1" spans="1:8" x14ac:dyDescent="0.25">
      <c r="A14" s="11">
        <v>11</v>
      </c>
      <c r="B14" s="7" t="s">
        <v>15</v>
      </c>
      <c r="C14" s="7" t="s">
        <v>63</v>
      </c>
      <c r="D14" s="7" t="s">
        <v>36</v>
      </c>
      <c r="E14" s="12" t="s">
        <v>51</v>
      </c>
      <c r="F14" s="12" t="s">
        <v>51</v>
      </c>
      <c r="G14" s="12" t="s">
        <v>51</v>
      </c>
      <c r="H14" s="7" t="s">
        <v>55</v>
      </c>
    </row>
    <row r="15" ht="24" customHeight="1" spans="1:8" x14ac:dyDescent="0.25">
      <c r="A15" s="11">
        <v>12</v>
      </c>
      <c r="B15" s="7" t="s">
        <v>15</v>
      </c>
      <c r="C15" s="7" t="s">
        <v>64</v>
      </c>
      <c r="D15" s="7" t="s">
        <v>60</v>
      </c>
      <c r="E15" s="12" t="s">
        <v>51</v>
      </c>
      <c r="F15" s="12" t="s">
        <v>51</v>
      </c>
      <c r="G15" s="12" t="s">
        <v>51</v>
      </c>
      <c r="H15" s="7" t="s">
        <v>65</v>
      </c>
    </row>
    <row r="16" ht="24" customHeight="1" spans="1:8" x14ac:dyDescent="0.25">
      <c r="A16" s="11">
        <v>13</v>
      </c>
      <c r="B16" s="7" t="s">
        <v>15</v>
      </c>
      <c r="C16" s="7" t="s">
        <v>66</v>
      </c>
      <c r="D16" s="7" t="s">
        <v>60</v>
      </c>
      <c r="E16" s="12" t="s">
        <v>51</v>
      </c>
      <c r="F16" s="12" t="s">
        <v>51</v>
      </c>
      <c r="G16" s="12" t="s">
        <v>51</v>
      </c>
      <c r="H16" s="7" t="s">
        <v>65</v>
      </c>
    </row>
    <row r="17" ht="24" customHeight="1" spans="1:8" x14ac:dyDescent="0.25">
      <c r="A17" s="11">
        <v>14</v>
      </c>
      <c r="B17" s="7" t="s">
        <v>15</v>
      </c>
      <c r="C17" s="7" t="s">
        <v>67</v>
      </c>
      <c r="D17" s="7" t="s">
        <v>68</v>
      </c>
      <c r="E17" s="9">
        <v>3500</v>
      </c>
      <c r="F17" s="9">
        <v>3500</v>
      </c>
      <c r="G17" s="9">
        <f>ROUND((E17+F17)/2,0)</f>
      </c>
      <c r="H17" s="7" t="s">
        <v>69</v>
      </c>
    </row>
    <row r="18" ht="24" customHeight="1" spans="1:8" x14ac:dyDescent="0.25">
      <c r="A18" s="11">
        <v>15</v>
      </c>
      <c r="B18" s="7" t="s">
        <v>15</v>
      </c>
      <c r="C18" s="7" t="s">
        <v>70</v>
      </c>
      <c r="D18" s="7" t="s">
        <v>60</v>
      </c>
      <c r="E18" s="12" t="s">
        <v>51</v>
      </c>
      <c r="F18" s="12" t="s">
        <v>51</v>
      </c>
      <c r="G18" s="12" t="s">
        <v>51</v>
      </c>
      <c r="H18" s="7" t="s">
        <v>55</v>
      </c>
    </row>
    <row r="19" ht="24" customHeight="1" spans="1:8" x14ac:dyDescent="0.25">
      <c r="A19" s="11">
        <v>16</v>
      </c>
      <c r="B19" s="7" t="s">
        <v>15</v>
      </c>
      <c r="C19" s="7" t="s">
        <v>71</v>
      </c>
      <c r="D19" s="7" t="s">
        <v>60</v>
      </c>
      <c r="E19" s="12" t="s">
        <v>51</v>
      </c>
      <c r="F19" s="12" t="s">
        <v>51</v>
      </c>
      <c r="G19" s="12" t="s">
        <v>51</v>
      </c>
      <c r="H19" s="7" t="s">
        <v>72</v>
      </c>
    </row>
    <row r="20" ht="24" customHeight="1" spans="1:8" x14ac:dyDescent="0.25">
      <c r="A20" s="11">
        <v>17</v>
      </c>
      <c r="B20" s="7" t="s">
        <v>15</v>
      </c>
      <c r="C20" s="7" t="s">
        <v>73</v>
      </c>
      <c r="D20" s="7" t="s">
        <v>74</v>
      </c>
      <c r="E20" s="9">
        <v>1800</v>
      </c>
      <c r="F20" s="9">
        <v>2500</v>
      </c>
      <c r="G20" s="9">
        <f>ROUND((E20+F20)/2,0)</f>
      </c>
      <c r="H20" s="7" t="s">
        <v>75</v>
      </c>
    </row>
    <row r="21" ht="24" customHeight="1" spans="1:8" x14ac:dyDescent="0.25">
      <c r="A21" s="11">
        <v>18</v>
      </c>
      <c r="B21" s="7" t="s">
        <v>15</v>
      </c>
      <c r="C21" s="7" t="s">
        <v>76</v>
      </c>
      <c r="D21" s="7" t="s">
        <v>36</v>
      </c>
      <c r="E21" s="12" t="s">
        <v>51</v>
      </c>
      <c r="F21" s="12" t="s">
        <v>51</v>
      </c>
      <c r="G21" s="12" t="s">
        <v>51</v>
      </c>
      <c r="H21" s="7" t="s">
        <v>77</v>
      </c>
    </row>
    <row r="22" ht="24" customHeight="1" spans="1:8" x14ac:dyDescent="0.25">
      <c r="A22" s="11">
        <v>19</v>
      </c>
      <c r="B22" s="7" t="s">
        <v>15</v>
      </c>
      <c r="C22" s="7" t="s">
        <v>78</v>
      </c>
      <c r="D22" s="7" t="s">
        <v>79</v>
      </c>
      <c r="E22" s="12" t="s">
        <v>51</v>
      </c>
      <c r="F22" s="12" t="s">
        <v>51</v>
      </c>
      <c r="G22" s="12" t="s">
        <v>51</v>
      </c>
      <c r="H22" s="7" t="s">
        <v>80</v>
      </c>
    </row>
    <row r="23" ht="24" customHeight="1" spans="1:8" x14ac:dyDescent="0.25">
      <c r="A23" s="11">
        <v>20</v>
      </c>
      <c r="B23" s="7" t="s">
        <v>15</v>
      </c>
      <c r="C23" s="7" t="s">
        <v>81</v>
      </c>
      <c r="D23" s="7" t="s">
        <v>82</v>
      </c>
      <c r="E23" s="12" t="s">
        <v>51</v>
      </c>
      <c r="F23" s="12" t="s">
        <v>51</v>
      </c>
      <c r="G23" s="12" t="s">
        <v>51</v>
      </c>
      <c r="H23" s="7" t="s">
        <v>83</v>
      </c>
    </row>
    <row r="24" ht="24" customHeight="1" spans="1:8" x14ac:dyDescent="0.25">
      <c r="A24" s="11">
        <v>21</v>
      </c>
      <c r="B24" s="7" t="s">
        <v>15</v>
      </c>
      <c r="C24" s="7" t="s">
        <v>84</v>
      </c>
      <c r="D24" s="7" t="s">
        <v>85</v>
      </c>
      <c r="E24" s="12" t="s">
        <v>51</v>
      </c>
      <c r="F24" s="12" t="s">
        <v>51</v>
      </c>
      <c r="G24" s="12" t="s">
        <v>51</v>
      </c>
      <c r="H24" s="7" t="s">
        <v>86</v>
      </c>
    </row>
    <row r="25" ht="24" customHeight="1" spans="1:8" x14ac:dyDescent="0.25">
      <c r="A25" s="11">
        <v>22</v>
      </c>
      <c r="B25" s="7" t="s">
        <v>15</v>
      </c>
      <c r="C25" s="7" t="s">
        <v>87</v>
      </c>
      <c r="D25" s="7" t="s">
        <v>88</v>
      </c>
      <c r="E25" s="9">
        <v>7500</v>
      </c>
      <c r="F25" s="9">
        <v>7500</v>
      </c>
      <c r="G25" s="9">
        <f>ROUND((E25+F25)/2,0)</f>
      </c>
      <c r="H25" s="7" t="s">
        <v>89</v>
      </c>
    </row>
    <row r="26" ht="24" customHeight="1" spans="1:8" x14ac:dyDescent="0.25">
      <c r="A26" s="11">
        <v>23</v>
      </c>
      <c r="B26" s="7" t="s">
        <v>15</v>
      </c>
      <c r="C26" s="7" t="s">
        <v>90</v>
      </c>
      <c r="D26" s="7" t="s">
        <v>36</v>
      </c>
      <c r="E26" s="12" t="s">
        <v>51</v>
      </c>
      <c r="F26" s="12" t="s">
        <v>51</v>
      </c>
      <c r="G26" s="12" t="s">
        <v>51</v>
      </c>
      <c r="H26" s="7" t="s">
        <v>55</v>
      </c>
    </row>
    <row r="27" ht="24" customHeight="1" spans="1:8" x14ac:dyDescent="0.25">
      <c r="A27" s="11">
        <v>24</v>
      </c>
      <c r="B27" s="7" t="s">
        <v>15</v>
      </c>
      <c r="C27" s="7" t="s">
        <v>91</v>
      </c>
      <c r="D27" s="7" t="s">
        <v>92</v>
      </c>
      <c r="E27" s="9">
        <v>3800</v>
      </c>
      <c r="F27" s="9">
        <v>15000</v>
      </c>
      <c r="G27" s="9">
        <f>ROUND((E27+F27)/2,0)</f>
      </c>
      <c r="H27" s="7" t="s">
        <v>93</v>
      </c>
    </row>
    <row r="28" ht="24" customHeight="1" spans="1:8" x14ac:dyDescent="0.25">
      <c r="A28" s="11">
        <v>25</v>
      </c>
      <c r="B28" s="7" t="s">
        <v>15</v>
      </c>
      <c r="C28" s="7" t="s">
        <v>94</v>
      </c>
      <c r="D28" s="7" t="s">
        <v>95</v>
      </c>
      <c r="E28" s="9">
        <v>8000</v>
      </c>
      <c r="F28" s="9">
        <v>12000</v>
      </c>
      <c r="G28" s="9">
        <f>ROUND((E28+F28)/2,0)</f>
      </c>
      <c r="H28" s="7" t="s">
        <v>96</v>
      </c>
    </row>
    <row r="29" ht="24" customHeight="1" spans="1:8" x14ac:dyDescent="0.25">
      <c r="A29" s="11">
        <v>26</v>
      </c>
      <c r="B29" s="7" t="s">
        <v>15</v>
      </c>
      <c r="C29" s="7" t="s">
        <v>97</v>
      </c>
      <c r="D29" s="7" t="s">
        <v>60</v>
      </c>
      <c r="E29" s="9">
        <v>3000</v>
      </c>
      <c r="F29" s="9">
        <v>5310</v>
      </c>
      <c r="G29" s="9">
        <f>ROUND((E29+F29)/2,0)</f>
      </c>
      <c r="H29" s="7" t="s">
        <v>98</v>
      </c>
    </row>
    <row r="30" ht="24" customHeight="1" spans="1:8" x14ac:dyDescent="0.25">
      <c r="A30" s="11">
        <v>27</v>
      </c>
      <c r="B30" s="7" t="s">
        <v>15</v>
      </c>
      <c r="C30" s="7" t="s">
        <v>99</v>
      </c>
      <c r="D30" s="7" t="s">
        <v>60</v>
      </c>
      <c r="E30" s="9">
        <v>2222</v>
      </c>
      <c r="F30" s="9">
        <v>5600</v>
      </c>
      <c r="G30" s="9">
        <f>ROUND((E30+F30)/2,0)</f>
      </c>
      <c r="H30" s="7" t="s">
        <v>100</v>
      </c>
    </row>
    <row r="31" ht="24" customHeight="1" spans="1:8" x14ac:dyDescent="0.25">
      <c r="A31" s="11">
        <v>28</v>
      </c>
      <c r="B31" s="7" t="s">
        <v>15</v>
      </c>
      <c r="C31" s="7" t="s">
        <v>101</v>
      </c>
      <c r="D31" s="7" t="s">
        <v>36</v>
      </c>
      <c r="E31" s="12" t="s">
        <v>51</v>
      </c>
      <c r="F31" s="12" t="s">
        <v>51</v>
      </c>
      <c r="G31" s="12" t="s">
        <v>51</v>
      </c>
      <c r="H31" s="7" t="s">
        <v>102</v>
      </c>
    </row>
    <row r="32" ht="24" customHeight="1" spans="1:8" x14ac:dyDescent="0.25">
      <c r="A32" s="11">
        <v>29</v>
      </c>
      <c r="B32" s="7" t="s">
        <v>16</v>
      </c>
      <c r="C32" s="7" t="s">
        <v>103</v>
      </c>
      <c r="D32" s="7" t="s">
        <v>104</v>
      </c>
      <c r="E32" s="9">
        <v>80000</v>
      </c>
      <c r="F32" s="9">
        <v>110000</v>
      </c>
      <c r="G32" s="9">
        <f>ROUND((E32+F32)/2,0)</f>
      </c>
      <c r="H32" s="7" t="s">
        <v>105</v>
      </c>
    </row>
    <row r="33" ht="24" customHeight="1" spans="1:8" x14ac:dyDescent="0.25">
      <c r="A33" s="11">
        <v>30</v>
      </c>
      <c r="B33" s="7" t="s">
        <v>16</v>
      </c>
      <c r="C33" s="7" t="s">
        <v>106</v>
      </c>
      <c r="D33" s="7" t="s">
        <v>107</v>
      </c>
      <c r="E33" s="9">
        <v>50000</v>
      </c>
      <c r="F33" s="9">
        <v>50000</v>
      </c>
      <c r="G33" s="9">
        <f>ROUND((E33+F33)/2,0)</f>
      </c>
      <c r="H33" s="7" t="s">
        <v>108</v>
      </c>
    </row>
    <row r="34" ht="24" customHeight="1" spans="1:8" x14ac:dyDescent="0.25">
      <c r="A34" s="11">
        <v>31</v>
      </c>
      <c r="B34" s="7" t="s">
        <v>16</v>
      </c>
      <c r="C34" s="7" t="s">
        <v>109</v>
      </c>
      <c r="D34" s="7" t="s">
        <v>60</v>
      </c>
      <c r="E34" s="9">
        <v>3900</v>
      </c>
      <c r="F34" s="9">
        <v>9465</v>
      </c>
      <c r="G34" s="9">
        <f>ROUND((E34+F34)/2,0)</f>
      </c>
      <c r="H34" s="7" t="s">
        <v>110</v>
      </c>
    </row>
    <row r="35" ht="24" customHeight="1" spans="1:8" x14ac:dyDescent="0.25">
      <c r="A35" s="11">
        <v>32</v>
      </c>
      <c r="B35" s="7" t="s">
        <v>16</v>
      </c>
      <c r="C35" s="7" t="s">
        <v>111</v>
      </c>
      <c r="D35" s="7" t="s">
        <v>112</v>
      </c>
      <c r="E35" s="12" t="s">
        <v>51</v>
      </c>
      <c r="F35" s="12" t="s">
        <v>51</v>
      </c>
      <c r="G35" s="12" t="s">
        <v>51</v>
      </c>
      <c r="H35" s="7" t="s">
        <v>113</v>
      </c>
    </row>
    <row r="36" ht="24" customHeight="1" spans="1:8" x14ac:dyDescent="0.25">
      <c r="A36" s="11">
        <v>33</v>
      </c>
      <c r="B36" s="7" t="s">
        <v>16</v>
      </c>
      <c r="C36" s="7" t="s">
        <v>114</v>
      </c>
      <c r="D36" s="7" t="s">
        <v>60</v>
      </c>
      <c r="E36" s="12" t="s">
        <v>51</v>
      </c>
      <c r="F36" s="12" t="s">
        <v>51</v>
      </c>
      <c r="G36" s="12" t="s">
        <v>51</v>
      </c>
      <c r="H36" s="7" t="s">
        <v>55</v>
      </c>
    </row>
    <row r="37" ht="24" customHeight="1" spans="1:8" x14ac:dyDescent="0.25">
      <c r="A37" s="11">
        <v>34</v>
      </c>
      <c r="B37" s="7" t="s">
        <v>16</v>
      </c>
      <c r="C37" s="7" t="s">
        <v>115</v>
      </c>
      <c r="D37" s="7"/>
      <c r="E37" s="12" t="s">
        <v>51</v>
      </c>
      <c r="F37" s="12" t="s">
        <v>51</v>
      </c>
      <c r="G37" s="12" t="s">
        <v>51</v>
      </c>
      <c r="H37" s="7" t="s">
        <v>116</v>
      </c>
    </row>
    <row r="38" ht="24" customHeight="1" spans="1:8" x14ac:dyDescent="0.25">
      <c r="A38" s="11">
        <v>35</v>
      </c>
      <c r="B38" s="7" t="s">
        <v>17</v>
      </c>
      <c r="C38" s="7" t="s">
        <v>117</v>
      </c>
      <c r="D38" s="7" t="s">
        <v>118</v>
      </c>
      <c r="E38" s="12" t="s">
        <v>51</v>
      </c>
      <c r="F38" s="12" t="s">
        <v>51</v>
      </c>
      <c r="G38" s="12" t="s">
        <v>51</v>
      </c>
      <c r="H38" s="7" t="s">
        <v>119</v>
      </c>
    </row>
    <row r="39" ht="24" customHeight="1" spans="1:8" x14ac:dyDescent="0.25">
      <c r="A39" s="11">
        <v>36</v>
      </c>
      <c r="B39" s="7" t="s">
        <v>17</v>
      </c>
      <c r="C39" s="7" t="s">
        <v>120</v>
      </c>
      <c r="D39" s="7" t="s">
        <v>121</v>
      </c>
      <c r="E39" s="12" t="s">
        <v>51</v>
      </c>
      <c r="F39" s="12" t="s">
        <v>51</v>
      </c>
      <c r="G39" s="12" t="s">
        <v>51</v>
      </c>
      <c r="H39" s="7" t="s">
        <v>122</v>
      </c>
    </row>
    <row r="40" ht="24" customHeight="1" spans="1:8" x14ac:dyDescent="0.25">
      <c r="A40" s="11">
        <v>37</v>
      </c>
      <c r="B40" s="7" t="s">
        <v>17</v>
      </c>
      <c r="C40" s="7" t="s">
        <v>123</v>
      </c>
      <c r="D40" s="7" t="s">
        <v>60</v>
      </c>
      <c r="E40" s="9">
        <v>1500</v>
      </c>
      <c r="F40" s="9">
        <v>4000</v>
      </c>
      <c r="G40" s="9">
        <f>ROUND((E40+F40)/2,0)</f>
      </c>
      <c r="H40" s="7" t="s">
        <v>124</v>
      </c>
    </row>
    <row r="41" ht="24" customHeight="1" spans="1:8" x14ac:dyDescent="0.25">
      <c r="A41" s="11">
        <v>38</v>
      </c>
      <c r="B41" s="7" t="s">
        <v>17</v>
      </c>
      <c r="C41" s="7" t="s">
        <v>125</v>
      </c>
      <c r="D41" s="7" t="s">
        <v>126</v>
      </c>
      <c r="E41" s="12" t="s">
        <v>51</v>
      </c>
      <c r="F41" s="12" t="s">
        <v>51</v>
      </c>
      <c r="G41" s="12" t="s">
        <v>51</v>
      </c>
      <c r="H41" s="7" t="s">
        <v>55</v>
      </c>
    </row>
    <row r="42" ht="24" customHeight="1" spans="1:8" x14ac:dyDescent="0.25">
      <c r="A42" s="11">
        <v>39</v>
      </c>
      <c r="B42" s="7" t="s">
        <v>17</v>
      </c>
      <c r="C42" s="7" t="s">
        <v>127</v>
      </c>
      <c r="D42" s="7" t="s">
        <v>60</v>
      </c>
      <c r="E42" s="12" t="s">
        <v>51</v>
      </c>
      <c r="F42" s="12" t="s">
        <v>51</v>
      </c>
      <c r="G42" s="12" t="s">
        <v>51</v>
      </c>
      <c r="H42" s="7" t="s">
        <v>128</v>
      </c>
    </row>
    <row r="43" ht="24" customHeight="1" spans="1:8" x14ac:dyDescent="0.25">
      <c r="A43" s="11">
        <v>40</v>
      </c>
      <c r="B43" s="7" t="s">
        <v>17</v>
      </c>
      <c r="C43" s="7" t="s">
        <v>129</v>
      </c>
      <c r="D43" s="7" t="s">
        <v>60</v>
      </c>
      <c r="E43" s="12" t="s">
        <v>51</v>
      </c>
      <c r="F43" s="12" t="s">
        <v>51</v>
      </c>
      <c r="G43" s="12" t="s">
        <v>51</v>
      </c>
      <c r="H43" s="7" t="s">
        <v>130</v>
      </c>
    </row>
    <row r="44" ht="24" customHeight="1" spans="1:8" x14ac:dyDescent="0.25">
      <c r="A44" s="11">
        <v>41</v>
      </c>
      <c r="B44" s="7" t="s">
        <v>17</v>
      </c>
      <c r="C44" s="7" t="s">
        <v>131</v>
      </c>
      <c r="D44" s="7" t="s">
        <v>60</v>
      </c>
      <c r="E44" s="12" t="s">
        <v>51</v>
      </c>
      <c r="F44" s="12" t="s">
        <v>51</v>
      </c>
      <c r="G44" s="12" t="s">
        <v>51</v>
      </c>
      <c r="H44" s="7" t="s">
        <v>128</v>
      </c>
    </row>
    <row r="45" ht="24" customHeight="1" spans="1:8" x14ac:dyDescent="0.25">
      <c r="A45" s="11">
        <v>42</v>
      </c>
      <c r="B45" s="7" t="s">
        <v>17</v>
      </c>
      <c r="C45" s="7" t="s">
        <v>132</v>
      </c>
      <c r="D45" s="7" t="s">
        <v>133</v>
      </c>
      <c r="E45" s="12" t="s">
        <v>51</v>
      </c>
      <c r="F45" s="12" t="s">
        <v>51</v>
      </c>
      <c r="G45" s="12" t="s">
        <v>51</v>
      </c>
      <c r="H45" s="7" t="s">
        <v>134</v>
      </c>
    </row>
    <row r="46" ht="24" customHeight="1" spans="1:8" x14ac:dyDescent="0.25">
      <c r="A46" s="11">
        <v>43</v>
      </c>
      <c r="B46" s="7" t="s">
        <v>17</v>
      </c>
      <c r="C46" s="7" t="s">
        <v>135</v>
      </c>
      <c r="D46" s="7" t="s">
        <v>136</v>
      </c>
      <c r="E46" s="9">
        <v>31000</v>
      </c>
      <c r="F46" s="9">
        <v>31000</v>
      </c>
      <c r="G46" s="9">
        <f>ROUND((E46+F46)/2,0)</f>
      </c>
      <c r="H46" s="7" t="s">
        <v>137</v>
      </c>
    </row>
    <row r="47" ht="24" customHeight="1" spans="1:8" x14ac:dyDescent="0.25">
      <c r="A47" s="11">
        <v>44</v>
      </c>
      <c r="B47" s="7" t="s">
        <v>17</v>
      </c>
      <c r="C47" s="7" t="s">
        <v>138</v>
      </c>
      <c r="D47" s="7" t="s">
        <v>60</v>
      </c>
      <c r="E47" s="12" t="s">
        <v>51</v>
      </c>
      <c r="F47" s="12" t="s">
        <v>51</v>
      </c>
      <c r="G47" s="12" t="s">
        <v>51</v>
      </c>
      <c r="H47" s="7" t="s">
        <v>128</v>
      </c>
    </row>
    <row r="48" ht="24" customHeight="1" spans="1:8" x14ac:dyDescent="0.25">
      <c r="A48" s="11">
        <v>45</v>
      </c>
      <c r="B48" s="7" t="s">
        <v>17</v>
      </c>
      <c r="C48" s="7" t="s">
        <v>139</v>
      </c>
      <c r="D48" s="7" t="s">
        <v>140</v>
      </c>
      <c r="E48" s="12" t="s">
        <v>51</v>
      </c>
      <c r="F48" s="12" t="s">
        <v>51</v>
      </c>
      <c r="G48" s="12" t="s">
        <v>51</v>
      </c>
      <c r="H48" s="7" t="s">
        <v>55</v>
      </c>
    </row>
    <row r="49" ht="24" customHeight="1" spans="1:8" x14ac:dyDescent="0.25">
      <c r="A49" s="11">
        <v>46</v>
      </c>
      <c r="B49" s="7" t="s">
        <v>17</v>
      </c>
      <c r="C49" s="7" t="s">
        <v>141</v>
      </c>
      <c r="D49" s="7" t="s">
        <v>142</v>
      </c>
      <c r="E49" s="12" t="s">
        <v>51</v>
      </c>
      <c r="F49" s="12" t="s">
        <v>51</v>
      </c>
      <c r="G49" s="12" t="s">
        <v>51</v>
      </c>
      <c r="H49" s="7" t="s">
        <v>55</v>
      </c>
    </row>
    <row r="50" ht="24" customHeight="1" spans="1:8" x14ac:dyDescent="0.25">
      <c r="A50" s="11">
        <v>47</v>
      </c>
      <c r="B50" s="7" t="s">
        <v>18</v>
      </c>
      <c r="C50" s="7" t="s">
        <v>143</v>
      </c>
      <c r="D50" s="7" t="s">
        <v>144</v>
      </c>
      <c r="E50" s="9">
        <v>950</v>
      </c>
      <c r="F50" s="9">
        <v>3600</v>
      </c>
      <c r="G50" s="9">
        <f>ROUND((E50+F50)/2,0)</f>
      </c>
      <c r="H50" s="7" t="s">
        <v>145</v>
      </c>
    </row>
    <row r="51" ht="24" customHeight="1" spans="1:8" x14ac:dyDescent="0.25">
      <c r="A51" s="11">
        <v>48</v>
      </c>
      <c r="B51" s="7" t="s">
        <v>18</v>
      </c>
      <c r="C51" s="7" t="s">
        <v>146</v>
      </c>
      <c r="D51" s="7" t="s">
        <v>60</v>
      </c>
      <c r="E51" s="9">
        <v>1500</v>
      </c>
      <c r="F51" s="9">
        <v>8200</v>
      </c>
      <c r="G51" s="9">
        <f>ROUND((E51+F51)/2,0)</f>
      </c>
      <c r="H51" s="7" t="s">
        <v>147</v>
      </c>
    </row>
    <row r="52" ht="24" customHeight="1" spans="1:8" x14ac:dyDescent="0.25">
      <c r="A52" s="11">
        <v>49</v>
      </c>
      <c r="B52" s="7" t="s">
        <v>18</v>
      </c>
      <c r="C52" s="7" t="s">
        <v>148</v>
      </c>
      <c r="D52" s="7" t="s">
        <v>60</v>
      </c>
      <c r="E52" s="12" t="s">
        <v>51</v>
      </c>
      <c r="F52" s="12" t="s">
        <v>51</v>
      </c>
      <c r="G52" s="12" t="s">
        <v>51</v>
      </c>
      <c r="H52" s="7" t="s">
        <v>128</v>
      </c>
    </row>
    <row r="53" ht="24" customHeight="1" spans="1:8" x14ac:dyDescent="0.25">
      <c r="A53" s="11">
        <v>50</v>
      </c>
      <c r="B53" s="7" t="s">
        <v>18</v>
      </c>
      <c r="C53" s="7" t="s">
        <v>149</v>
      </c>
      <c r="D53" s="7" t="s">
        <v>60</v>
      </c>
      <c r="E53" s="12" t="s">
        <v>51</v>
      </c>
      <c r="F53" s="12" t="s">
        <v>51</v>
      </c>
      <c r="G53" s="12" t="s">
        <v>51</v>
      </c>
      <c r="H53" s="7" t="s">
        <v>55</v>
      </c>
    </row>
    <row r="54" ht="24" customHeight="1" spans="1:8" x14ac:dyDescent="0.25">
      <c r="A54" s="11">
        <v>51</v>
      </c>
      <c r="B54" s="7" t="s">
        <v>18</v>
      </c>
      <c r="C54" s="7" t="s">
        <v>150</v>
      </c>
      <c r="D54" s="7" t="s">
        <v>151</v>
      </c>
      <c r="E54" s="9">
        <v>2750</v>
      </c>
      <c r="F54" s="9">
        <v>8500</v>
      </c>
      <c r="G54" s="9">
        <f>ROUND((E54+F54)/2,0)</f>
      </c>
      <c r="H54" s="7" t="s">
        <v>152</v>
      </c>
    </row>
    <row r="55" ht="24" customHeight="1" spans="1:8" x14ac:dyDescent="0.25">
      <c r="A55" s="11">
        <v>52</v>
      </c>
      <c r="B55" s="7" t="s">
        <v>18</v>
      </c>
      <c r="C55" s="7" t="s">
        <v>153</v>
      </c>
      <c r="D55" s="7" t="s">
        <v>60</v>
      </c>
      <c r="E55" s="12" t="s">
        <v>51</v>
      </c>
      <c r="F55" s="12" t="s">
        <v>51</v>
      </c>
      <c r="G55" s="12" t="s">
        <v>51</v>
      </c>
      <c r="H55" s="7" t="s">
        <v>72</v>
      </c>
    </row>
    <row r="56" ht="24" customHeight="1" spans="1:8" x14ac:dyDescent="0.25">
      <c r="A56" s="11">
        <v>53</v>
      </c>
      <c r="B56" s="7" t="s">
        <v>19</v>
      </c>
      <c r="C56" s="7" t="s">
        <v>154</v>
      </c>
      <c r="D56" s="7" t="s">
        <v>155</v>
      </c>
      <c r="E56" s="9">
        <v>7000</v>
      </c>
      <c r="F56" s="9">
        <v>15000</v>
      </c>
      <c r="G56" s="9">
        <f>ROUND((E56+F56)/2,0)</f>
      </c>
      <c r="H56" s="7" t="s">
        <v>156</v>
      </c>
    </row>
    <row r="57" ht="24" customHeight="1" spans="1:8" x14ac:dyDescent="0.25">
      <c r="A57" s="11">
        <v>54</v>
      </c>
      <c r="B57" s="7" t="s">
        <v>19</v>
      </c>
      <c r="C57" s="7" t="s">
        <v>157</v>
      </c>
      <c r="D57" s="7" t="s">
        <v>158</v>
      </c>
      <c r="E57" s="9">
        <v>5000</v>
      </c>
      <c r="F57" s="9">
        <v>9990</v>
      </c>
      <c r="G57" s="9">
        <f>ROUND((E57+F57)/2,0)</f>
      </c>
      <c r="H57" s="7" t="s">
        <v>159</v>
      </c>
    </row>
    <row r="58" ht="24" customHeight="1" spans="1:8" x14ac:dyDescent="0.25">
      <c r="A58" s="11">
        <v>55</v>
      </c>
      <c r="B58" s="7" t="s">
        <v>19</v>
      </c>
      <c r="C58" s="7" t="s">
        <v>160</v>
      </c>
      <c r="D58" s="7" t="s">
        <v>60</v>
      </c>
      <c r="E58" s="9">
        <v>2000</v>
      </c>
      <c r="F58" s="9">
        <v>25000</v>
      </c>
      <c r="G58" s="9">
        <f>ROUND((E58+F58)/2,0)</f>
      </c>
      <c r="H58" s="7" t="s">
        <v>161</v>
      </c>
    </row>
    <row r="59" ht="24" customHeight="1" spans="1:8" x14ac:dyDescent="0.25">
      <c r="A59" s="11">
        <v>56</v>
      </c>
      <c r="B59" s="7" t="s">
        <v>19</v>
      </c>
      <c r="C59" s="7" t="s">
        <v>162</v>
      </c>
      <c r="D59" s="7" t="s">
        <v>60</v>
      </c>
      <c r="E59" s="9">
        <v>2000</v>
      </c>
      <c r="F59" s="9">
        <v>24000</v>
      </c>
      <c r="G59" s="9">
        <f>ROUND((E59+F59)/2,0)</f>
      </c>
      <c r="H59" s="7" t="s">
        <v>163</v>
      </c>
    </row>
    <row r="60" ht="24" customHeight="1" spans="1:8" x14ac:dyDescent="0.25">
      <c r="A60" s="11">
        <v>57</v>
      </c>
      <c r="B60" s="7" t="s">
        <v>19</v>
      </c>
      <c r="C60" s="7" t="s">
        <v>164</v>
      </c>
      <c r="D60" s="7" t="s">
        <v>165</v>
      </c>
      <c r="E60" s="9">
        <v>4000</v>
      </c>
      <c r="F60" s="9">
        <v>12500</v>
      </c>
      <c r="G60" s="9">
        <f>ROUND((E60+F60)/2,0)</f>
      </c>
      <c r="H60" s="7" t="s">
        <v>166</v>
      </c>
    </row>
    <row r="61" ht="24" customHeight="1" spans="1:8" x14ac:dyDescent="0.25">
      <c r="A61" s="11">
        <v>58</v>
      </c>
      <c r="B61" s="7" t="s">
        <v>19</v>
      </c>
      <c r="C61" s="7" t="s">
        <v>167</v>
      </c>
      <c r="D61" s="7" t="s">
        <v>155</v>
      </c>
      <c r="E61" s="9">
        <v>5000</v>
      </c>
      <c r="F61" s="9">
        <v>25500</v>
      </c>
      <c r="G61" s="9">
        <f>ROUND((E61+F61)/2,0)</f>
      </c>
      <c r="H61" s="7" t="s">
        <v>168</v>
      </c>
    </row>
    <row r="62" ht="24" customHeight="1" spans="1:8" x14ac:dyDescent="0.25">
      <c r="A62" s="11">
        <v>59</v>
      </c>
      <c r="B62" s="7" t="s">
        <v>19</v>
      </c>
      <c r="C62" s="7" t="s">
        <v>169</v>
      </c>
      <c r="D62" s="7" t="s">
        <v>60</v>
      </c>
      <c r="E62" s="9">
        <v>11000</v>
      </c>
      <c r="F62" s="9">
        <v>65000</v>
      </c>
      <c r="G62" s="9">
        <f>ROUND((E62+F62)/2,0)</f>
      </c>
      <c r="H62" s="7" t="s">
        <v>170</v>
      </c>
    </row>
    <row r="63" ht="24" customHeight="1" spans="1:8" x14ac:dyDescent="0.25">
      <c r="A63" s="11">
        <v>60</v>
      </c>
      <c r="B63" s="7" t="s">
        <v>19</v>
      </c>
      <c r="C63" s="7" t="s">
        <v>171</v>
      </c>
      <c r="D63" s="7" t="s">
        <v>60</v>
      </c>
      <c r="E63" s="9">
        <v>39990</v>
      </c>
      <c r="F63" s="9">
        <v>40000</v>
      </c>
      <c r="G63" s="9">
        <f>ROUND((E63+F63)/2,0)</f>
      </c>
      <c r="H63" s="7" t="s">
        <v>172</v>
      </c>
    </row>
    <row r="64" ht="24" customHeight="1" spans="1:8" x14ac:dyDescent="0.25">
      <c r="A64" s="11">
        <v>61</v>
      </c>
      <c r="B64" s="7" t="s">
        <v>19</v>
      </c>
      <c r="C64" s="7" t="s">
        <v>173</v>
      </c>
      <c r="D64" s="7" t="s">
        <v>60</v>
      </c>
      <c r="E64" s="9">
        <v>2000</v>
      </c>
      <c r="F64" s="9">
        <v>15500</v>
      </c>
      <c r="G64" s="9">
        <f>ROUND((E64+F64)/2,0)</f>
      </c>
      <c r="H64" s="7" t="s">
        <v>174</v>
      </c>
    </row>
    <row r="65" ht="24" customHeight="1" spans="1:8" x14ac:dyDescent="0.25">
      <c r="A65" s="11">
        <v>62</v>
      </c>
      <c r="B65" s="7" t="s">
        <v>19</v>
      </c>
      <c r="C65" s="7" t="s">
        <v>175</v>
      </c>
      <c r="D65" s="7" t="s">
        <v>60</v>
      </c>
      <c r="E65" s="9">
        <v>2000</v>
      </c>
      <c r="F65" s="9">
        <v>2000</v>
      </c>
      <c r="G65" s="9">
        <f>ROUND((E65+F65)/2,0)</f>
      </c>
      <c r="H65" s="7" t="s">
        <v>176</v>
      </c>
    </row>
    <row r="66" ht="24" customHeight="1" spans="1:8" x14ac:dyDescent="0.25">
      <c r="A66" s="11">
        <v>63</v>
      </c>
      <c r="B66" s="7" t="s">
        <v>19</v>
      </c>
      <c r="C66" s="7" t="s">
        <v>177</v>
      </c>
      <c r="D66" s="7" t="s">
        <v>165</v>
      </c>
      <c r="E66" s="9">
        <v>1000</v>
      </c>
      <c r="F66" s="9">
        <v>10500</v>
      </c>
      <c r="G66" s="9">
        <f>ROUND((E66+F66)/2,0)</f>
      </c>
      <c r="H66" s="7" t="s">
        <v>178</v>
      </c>
    </row>
    <row r="67" ht="24" customHeight="1" spans="1:8" x14ac:dyDescent="0.25">
      <c r="A67" s="11">
        <v>64</v>
      </c>
      <c r="B67" s="7" t="s">
        <v>19</v>
      </c>
      <c r="C67" s="7" t="s">
        <v>179</v>
      </c>
      <c r="D67" s="7" t="s">
        <v>60</v>
      </c>
      <c r="E67" s="9">
        <v>1310</v>
      </c>
      <c r="F67" s="9">
        <v>25000</v>
      </c>
      <c r="G67" s="9">
        <f>ROUND((E67+F67)/2,0)</f>
      </c>
      <c r="H67" s="7" t="s">
        <v>180</v>
      </c>
    </row>
    <row r="68" ht="24" customHeight="1" spans="1:8" x14ac:dyDescent="0.25">
      <c r="A68" s="11">
        <v>65</v>
      </c>
      <c r="B68" s="7" t="s">
        <v>19</v>
      </c>
      <c r="C68" s="7" t="s">
        <v>181</v>
      </c>
      <c r="D68" s="7" t="s">
        <v>182</v>
      </c>
      <c r="E68" s="9">
        <v>1010</v>
      </c>
      <c r="F68" s="9">
        <v>2500</v>
      </c>
      <c r="G68" s="9">
        <f>ROUND((E68+F68)/2,0)</f>
      </c>
      <c r="H68" s="7" t="s">
        <v>183</v>
      </c>
    </row>
    <row r="69" ht="24" customHeight="1" spans="1:8" x14ac:dyDescent="0.25">
      <c r="A69" s="11">
        <v>66</v>
      </c>
      <c r="B69" s="7" t="s">
        <v>19</v>
      </c>
      <c r="C69" s="7" t="s">
        <v>184</v>
      </c>
      <c r="D69" s="7" t="s">
        <v>185</v>
      </c>
      <c r="E69" s="9">
        <v>9500</v>
      </c>
      <c r="F69" s="9">
        <v>9500</v>
      </c>
      <c r="G69" s="9">
        <f>ROUND((E69+F69)/2,0)</f>
      </c>
      <c r="H69" s="7" t="s">
        <v>186</v>
      </c>
    </row>
    <row r="70" ht="24" customHeight="1" spans="1:8" x14ac:dyDescent="0.25">
      <c r="A70" s="11">
        <v>67</v>
      </c>
      <c r="B70" s="7" t="s">
        <v>20</v>
      </c>
      <c r="C70" s="7" t="s">
        <v>187</v>
      </c>
      <c r="D70" s="7" t="s">
        <v>50</v>
      </c>
      <c r="E70" s="9">
        <v>29700</v>
      </c>
      <c r="F70" s="9">
        <v>40000</v>
      </c>
      <c r="G70" s="9">
        <f>ROUND((E70+F70)/2,0)</f>
      </c>
      <c r="H70" s="7" t="s">
        <v>188</v>
      </c>
    </row>
    <row r="71" ht="24" customHeight="1" spans="1:8" x14ac:dyDescent="0.25">
      <c r="A71" s="11">
        <v>68</v>
      </c>
      <c r="B71" s="7" t="s">
        <v>20</v>
      </c>
      <c r="C71" s="7" t="s">
        <v>189</v>
      </c>
      <c r="D71" s="7" t="s">
        <v>60</v>
      </c>
      <c r="E71" s="9">
        <v>1000</v>
      </c>
      <c r="F71" s="9">
        <v>5360</v>
      </c>
      <c r="G71" s="9">
        <f>ROUND((E71+F71)/2,0)</f>
      </c>
      <c r="H71" s="7" t="s">
        <v>190</v>
      </c>
    </row>
    <row r="72" ht="24" customHeight="1" spans="1:8" x14ac:dyDescent="0.25">
      <c r="A72" s="11">
        <v>69</v>
      </c>
      <c r="B72" s="7" t="s">
        <v>20</v>
      </c>
      <c r="C72" s="7" t="s">
        <v>191</v>
      </c>
      <c r="D72" s="7" t="s">
        <v>60</v>
      </c>
      <c r="E72" s="9">
        <v>3100</v>
      </c>
      <c r="F72" s="9">
        <v>5600</v>
      </c>
      <c r="G72" s="9">
        <f>ROUND((E72+F72)/2,0)</f>
      </c>
      <c r="H72" s="7" t="s">
        <v>192</v>
      </c>
    </row>
    <row r="73" ht="24" customHeight="1" spans="1:8" x14ac:dyDescent="0.25">
      <c r="A73" s="11">
        <v>70</v>
      </c>
      <c r="B73" s="7" t="s">
        <v>20</v>
      </c>
      <c r="C73" s="7" t="s">
        <v>193</v>
      </c>
      <c r="D73" s="7" t="s">
        <v>60</v>
      </c>
      <c r="E73" s="9">
        <v>2500</v>
      </c>
      <c r="F73" s="9">
        <v>8510</v>
      </c>
      <c r="G73" s="9">
        <f>ROUND((E73+F73)/2,0)</f>
      </c>
      <c r="H73" s="7" t="s">
        <v>194</v>
      </c>
    </row>
    <row r="74" ht="24" customHeight="1" spans="1:8" x14ac:dyDescent="0.25">
      <c r="A74" s="11">
        <v>71</v>
      </c>
      <c r="B74" s="7" t="s">
        <v>20</v>
      </c>
      <c r="C74" s="7" t="s">
        <v>195</v>
      </c>
      <c r="D74" s="7" t="s">
        <v>60</v>
      </c>
      <c r="E74" s="9">
        <v>2250</v>
      </c>
      <c r="F74" s="9">
        <v>8510</v>
      </c>
      <c r="G74" s="9">
        <f>ROUND((E74+F74)/2,0)</f>
      </c>
      <c r="H74" s="7" t="s">
        <v>196</v>
      </c>
    </row>
    <row r="75" ht="24" customHeight="1" spans="1:8" x14ac:dyDescent="0.25">
      <c r="A75" s="11">
        <v>72</v>
      </c>
      <c r="B75" s="7" t="s">
        <v>20</v>
      </c>
      <c r="C75" s="7" t="s">
        <v>197</v>
      </c>
      <c r="D75" s="7" t="s">
        <v>60</v>
      </c>
      <c r="E75" s="9">
        <v>700</v>
      </c>
      <c r="F75" s="9">
        <v>15000</v>
      </c>
      <c r="G75" s="9">
        <f>ROUND((E75+F75)/2,0)</f>
      </c>
      <c r="H75" s="7" t="s">
        <v>198</v>
      </c>
    </row>
    <row r="76" ht="24" customHeight="1" spans="1:8" x14ac:dyDescent="0.25">
      <c r="A76" s="11">
        <v>73</v>
      </c>
      <c r="B76" s="7" t="s">
        <v>20</v>
      </c>
      <c r="C76" s="7" t="s">
        <v>199</v>
      </c>
      <c r="D76" s="7" t="s">
        <v>60</v>
      </c>
      <c r="E76" s="9">
        <v>3490</v>
      </c>
      <c r="F76" s="9">
        <v>10000</v>
      </c>
      <c r="G76" s="9">
        <f>ROUND((E76+F76)/2,0)</f>
      </c>
      <c r="H76" s="7" t="s">
        <v>200</v>
      </c>
    </row>
    <row r="77" ht="24" customHeight="1" spans="1:8" x14ac:dyDescent="0.25">
      <c r="A77" s="11">
        <v>74</v>
      </c>
      <c r="B77" s="7" t="s">
        <v>20</v>
      </c>
      <c r="C77" s="7" t="s">
        <v>201</v>
      </c>
      <c r="D77" s="7" t="s">
        <v>60</v>
      </c>
      <c r="E77" s="9">
        <v>1700</v>
      </c>
      <c r="F77" s="9">
        <v>5000</v>
      </c>
      <c r="G77" s="9">
        <f>ROUND((E77+F77)/2,0)</f>
      </c>
      <c r="H77" s="7" t="s">
        <v>202</v>
      </c>
    </row>
    <row r="78" ht="24" customHeight="1" spans="1:8" x14ac:dyDescent="0.25">
      <c r="A78" s="11">
        <v>75</v>
      </c>
      <c r="B78" s="7" t="s">
        <v>20</v>
      </c>
      <c r="C78" s="7" t="s">
        <v>203</v>
      </c>
      <c r="D78" s="7" t="s">
        <v>60</v>
      </c>
      <c r="E78" s="9">
        <v>1500</v>
      </c>
      <c r="F78" s="9">
        <v>25000</v>
      </c>
      <c r="G78" s="9">
        <f>ROUND((E78+F78)/2,0)</f>
      </c>
      <c r="H78" s="7" t="s">
        <v>204</v>
      </c>
    </row>
    <row r="79" ht="24" customHeight="1" spans="1:8" x14ac:dyDescent="0.25">
      <c r="A79" s="11">
        <v>76</v>
      </c>
      <c r="B79" s="7" t="s">
        <v>20</v>
      </c>
      <c r="C79" s="7" t="s">
        <v>205</v>
      </c>
      <c r="D79" s="7" t="s">
        <v>60</v>
      </c>
      <c r="E79" s="9">
        <v>1000</v>
      </c>
      <c r="F79" s="9">
        <v>11600</v>
      </c>
      <c r="G79" s="9">
        <f>ROUND((E79+F79)/2,0)</f>
      </c>
      <c r="H79" s="7" t="s">
        <v>206</v>
      </c>
    </row>
    <row r="80" ht="24" customHeight="1" spans="1:8" x14ac:dyDescent="0.25">
      <c r="A80" s="11">
        <v>77</v>
      </c>
      <c r="B80" s="7" t="s">
        <v>21</v>
      </c>
      <c r="C80" s="7" t="s">
        <v>207</v>
      </c>
      <c r="D80" s="7" t="s">
        <v>182</v>
      </c>
      <c r="E80" s="9">
        <v>5500</v>
      </c>
      <c r="F80" s="9">
        <v>12990</v>
      </c>
      <c r="G80" s="9">
        <f>ROUND((E80+F80)/2,0)</f>
      </c>
      <c r="H80" s="7" t="s">
        <v>208</v>
      </c>
    </row>
    <row r="81" ht="24" customHeight="1" spans="1:8" x14ac:dyDescent="0.25">
      <c r="A81" s="11">
        <v>78</v>
      </c>
      <c r="B81" s="7" t="s">
        <v>21</v>
      </c>
      <c r="C81" s="7" t="s">
        <v>209</v>
      </c>
      <c r="D81" s="7" t="s">
        <v>60</v>
      </c>
      <c r="E81" s="9">
        <v>5000</v>
      </c>
      <c r="F81" s="9">
        <v>5000</v>
      </c>
      <c r="G81" s="9">
        <f>ROUND((E81+F81)/2,0)</f>
      </c>
      <c r="H81" s="7" t="s">
        <v>210</v>
      </c>
    </row>
    <row r="82" ht="24" customHeight="1" spans="1:8" x14ac:dyDescent="0.25">
      <c r="A82" s="11">
        <v>79</v>
      </c>
      <c r="B82" s="7" t="s">
        <v>21</v>
      </c>
      <c r="C82" s="7" t="s">
        <v>211</v>
      </c>
      <c r="D82" s="7" t="s">
        <v>60</v>
      </c>
      <c r="E82" s="9">
        <v>3000</v>
      </c>
      <c r="F82" s="9">
        <v>35000</v>
      </c>
      <c r="G82" s="9">
        <f>ROUND((E82+F82)/2,0)</f>
      </c>
      <c r="H82" s="7" t="s">
        <v>212</v>
      </c>
    </row>
    <row r="83" ht="24" customHeight="1" spans="1:8" x14ac:dyDescent="0.25">
      <c r="A83" s="11">
        <v>80</v>
      </c>
      <c r="B83" s="7" t="s">
        <v>21</v>
      </c>
      <c r="C83" s="7" t="s">
        <v>213</v>
      </c>
      <c r="D83" s="7" t="s">
        <v>60</v>
      </c>
      <c r="E83" s="9">
        <v>10000</v>
      </c>
      <c r="F83" s="9">
        <v>23000</v>
      </c>
      <c r="G83" s="9">
        <f>ROUND((E83+F83)/2,0)</f>
      </c>
      <c r="H83" s="7" t="s">
        <v>214</v>
      </c>
    </row>
    <row r="84" ht="24" customHeight="1" spans="1:8" x14ac:dyDescent="0.25">
      <c r="A84" s="11">
        <v>81</v>
      </c>
      <c r="B84" s="7" t="s">
        <v>21</v>
      </c>
      <c r="C84" s="7" t="s">
        <v>215</v>
      </c>
      <c r="D84" s="7" t="s">
        <v>216</v>
      </c>
      <c r="E84" s="9">
        <v>7000</v>
      </c>
      <c r="F84" s="9">
        <v>45000</v>
      </c>
      <c r="G84" s="9">
        <f>ROUND((E84+F84)/2,0)</f>
      </c>
      <c r="H84" s="7" t="s">
        <v>217</v>
      </c>
    </row>
    <row r="85" ht="24" customHeight="1" spans="1:8" x14ac:dyDescent="0.25">
      <c r="A85" s="11">
        <v>82</v>
      </c>
      <c r="B85" s="7" t="s">
        <v>21</v>
      </c>
      <c r="C85" s="7" t="s">
        <v>218</v>
      </c>
      <c r="D85" s="7" t="s">
        <v>60</v>
      </c>
      <c r="E85" s="9">
        <v>1500</v>
      </c>
      <c r="F85" s="9">
        <v>3550</v>
      </c>
      <c r="G85" s="9">
        <f>ROUND((E85+F85)/2,0)</f>
      </c>
      <c r="H85" s="7" t="s">
        <v>219</v>
      </c>
    </row>
    <row r="86" ht="24" customHeight="1" spans="1:8" x14ac:dyDescent="0.25">
      <c r="A86" s="11">
        <v>83</v>
      </c>
      <c r="B86" s="7" t="s">
        <v>21</v>
      </c>
      <c r="C86" s="7" t="s">
        <v>220</v>
      </c>
      <c r="D86" s="7" t="s">
        <v>221</v>
      </c>
      <c r="E86" s="9">
        <v>6000</v>
      </c>
      <c r="F86" s="9">
        <v>6000</v>
      </c>
      <c r="G86" s="9">
        <f>ROUND((E86+F86)/2,0)</f>
      </c>
      <c r="H86" s="7" t="s">
        <v>186</v>
      </c>
    </row>
    <row r="87" ht="24" customHeight="1" spans="1:8" x14ac:dyDescent="0.25">
      <c r="A87" s="11">
        <v>84</v>
      </c>
      <c r="B87" s="7" t="s">
        <v>21</v>
      </c>
      <c r="C87" s="7" t="s">
        <v>222</v>
      </c>
      <c r="D87" s="7" t="s">
        <v>60</v>
      </c>
      <c r="E87" s="9">
        <v>450</v>
      </c>
      <c r="F87" s="9">
        <v>3470</v>
      </c>
      <c r="G87" s="9">
        <f>ROUND((E87+F87)/2,0)</f>
      </c>
      <c r="H87" s="7" t="s">
        <v>186</v>
      </c>
    </row>
  </sheetData>
  <autoFilter ref="A3:H8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223</v>
      </c>
      <c r="B1" s="1"/>
      <c r="C1" s="1"/>
      <c r="D1" s="1"/>
    </row>
    <row r="2" ht="32" customHeight="1" spans="1:4" x14ac:dyDescent="0.25">
      <c r="A2" s="2" t="s">
        <v>224</v>
      </c>
      <c r="B2" s="2"/>
      <c r="C2" s="2"/>
      <c r="D2" s="2"/>
    </row>
    <row r="3" spans="1:4" x14ac:dyDescent="0.25">
      <c r="A3" s="6" t="s">
        <v>225</v>
      </c>
      <c r="B3" s="6" t="s">
        <v>226</v>
      </c>
      <c r="C3" s="6" t="s">
        <v>227</v>
      </c>
      <c r="D3" s="6" t="s">
        <v>34</v>
      </c>
    </row>
    <row r="4" spans="1:4" x14ac:dyDescent="0.25">
      <c r="A4" s="7" t="s">
        <v>228</v>
      </c>
      <c r="B4" s="13" t="s">
        <v>229</v>
      </c>
      <c r="C4" s="7" t="s">
        <v>230</v>
      </c>
      <c r="D4" s="7" t="s">
        <v>231</v>
      </c>
    </row>
    <row r="5" spans="1:4" x14ac:dyDescent="0.25">
      <c r="A5" s="7" t="s">
        <v>232</v>
      </c>
      <c r="B5" s="13" t="s">
        <v>233</v>
      </c>
      <c r="C5" s="7" t="s">
        <v>234</v>
      </c>
      <c r="D5" s="7" t="s">
        <v>235</v>
      </c>
    </row>
    <row r="6" spans="1:4" x14ac:dyDescent="0.25">
      <c r="A6" s="7" t="s">
        <v>236</v>
      </c>
      <c r="B6" s="13" t="s">
        <v>237</v>
      </c>
      <c r="C6" s="7" t="s">
        <v>238</v>
      </c>
      <c r="D6" s="7" t="s">
        <v>239</v>
      </c>
    </row>
    <row r="7" spans="1:4" x14ac:dyDescent="0.25">
      <c r="A7" s="7" t="s">
        <v>240</v>
      </c>
      <c r="B7" s="13" t="s">
        <v>241</v>
      </c>
      <c r="C7" s="7" t="s">
        <v>230</v>
      </c>
      <c r="D7" s="7" t="s">
        <v>242</v>
      </c>
    </row>
    <row r="8" spans="1:4" x14ac:dyDescent="0.25">
      <c r="A8" s="7" t="s">
        <v>243</v>
      </c>
      <c r="B8" s="13" t="s">
        <v>244</v>
      </c>
      <c r="C8" s="7" t="s">
        <v>245</v>
      </c>
      <c r="D8" s="7" t="s">
        <v>246</v>
      </c>
    </row>
    <row r="9" spans="1:4" x14ac:dyDescent="0.25">
      <c r="A9" s="7" t="s">
        <v>247</v>
      </c>
      <c r="B9" s="13" t="s">
        <v>248</v>
      </c>
      <c r="C9" s="7" t="s">
        <v>249</v>
      </c>
      <c r="D9" s="7" t="s">
        <v>250</v>
      </c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Прайс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2026-09-23T20:54:45Z</dcterms:created>
  <dcterms:modified xsi:type="dcterms:W3CDTF">2026-09-23T20:54:45Z</dcterms:modified>
</cp:coreProperties>
</file>