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<sst xmlns="http://schemas.openxmlformats.org/spreadsheetml/2006/main" count="157" uniqueCount="79">
  <si>
    <t>БУ-запчасти Skoda Rapid (лифтбек, 1.6, 2015-2017)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</si>
  <si>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</si>
  <si>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</si>
  <si>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</si>
  <si>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</si>
  <si>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</si>
  <si>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</si>
  <si>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</si>
  <si>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</si>
  <si>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</si>
  <si>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</si>
  <si>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</si>
  <si>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</si>
  <si>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</si>
  <si>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</si>
  <si>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</si>
  <si>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</si>
  <si>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</si>
  <si>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</si>
  <si>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</si>
  <si>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б/у; итог зависит от состояния и региона.</t>
  </si>
  <si>
    <t>• «—» в колонке цены: публичная цена не подтверждена — уточняется у разборки.</t>
  </si>
  <si>
    <t>Источник: iZAP24 (европейский склад, без доставки), Авито.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</si>
  <si>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</si>
  <si>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</si>
  <si>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</si>
  <si>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</si>
  <si>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</si>
  <si>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</si>
  <si>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</si>
  <si>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</si>
  <si>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</si>
  <si>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Фара передняя (ксенон)</t>
  </si>
  <si>
    <t>5JB941015A</t>
  </si>
  <si>
    <t>iZAP24, склад Польша, без доставки</t>
  </si>
  <si>
    <t>Фара передняя (неориг.)</t>
  </si>
  <si>
    <t>5JB941016</t>
  </si>
  <si>
    <t>iZAP24</t>
  </si>
  <si>
    <t>Фара передняя (рест., проклеенная)</t>
  </si>
  <si>
    <t>5JB941016C</t>
  </si>
  <si>
    <t>Дверь передняя правая</t>
  </si>
  <si>
    <t>LA7W</t>
  </si>
  <si>
    <t>Дверь задняя правая</t>
  </si>
  <si>
    <t>LF9R</t>
  </si>
  <si>
    <t>Бампер задний (с PDC)</t>
  </si>
  <si>
    <t>LF8H</t>
  </si>
  <si>
    <t>Жабо (панель под стеклом)</t>
  </si>
  <si>
    <t>5JB819415</t>
  </si>
  <si>
    <t>Порог правый</t>
  </si>
  <si>
    <t/>
  </si>
  <si>
    <t>Суппорт задний</t>
  </si>
  <si>
    <t>Авито (заголовок лота)</t>
  </si>
  <si>
    <t>Двигатель в сборе (контракт)</t>
  </si>
  <si>
    <t>CWVA</t>
  </si>
  <si>
    <t>—</t>
  </si>
  <si>
    <t>Цена не подтверждена (Дром закрыт); ориентир ~145 т₽</t>
  </si>
  <si>
    <t>АКПП AQ250</t>
  </si>
  <si>
    <t>09G</t>
  </si>
  <si>
    <t>Цена не подтверждена</t>
  </si>
  <si>
    <t>DSG DQ200</t>
  </si>
  <si>
    <t>0AM</t>
  </si>
  <si>
    <t>Амортизатор передний</t>
  </si>
  <si>
    <t>ЭБУ / панель приборов</t>
  </si>
  <si>
    <t>Источники</t>
  </si>
  <si>
    <t>Площадка</t>
  </si>
  <si>
    <t>Что искать</t>
  </si>
  <si>
    <t>Тип</t>
  </si>
  <si>
    <t>XBaz (xbaz.ru)</t>
  </si>
  <si>
    <t>Любые бу-запчасти</t>
  </si>
  <si>
    <t>Агрегатор разборок</t>
  </si>
  <si>
    <t>Цены видны в карточке без входа</t>
  </si>
  <si>
    <t>Авито</t>
  </si>
  <si>
    <t>Контрактные узлы</t>
  </si>
  <si>
    <t>Доска объявлений</t>
  </si>
  <si>
    <t>Часть цен скрыта в объявлениях</t>
  </si>
  <si>
    <t>iZAP24 / База Дром</t>
  </si>
  <si>
    <t>Катализаторы, блоки, узлы</t>
  </si>
  <si>
    <t>Агрегаторы</t>
  </si>
  <si>
    <t>Для позиций без открытой 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</si>
</sst>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skoda%20rapid%20%D0%A4%D0%B0%D1%80%D0%B0%20%D0%BF%D0%B5%D1%80%D0%B5%D0%B4%D0%BD%D1%8F%D1%8F%20(%D0%BA%D1%81%D0%B5%D0%BD%D0%BE%D0%BD)%20%D0%B1%D1%83" TargetMode="External"/><Relationship Id="rId2" Type="http://schemas.openxmlformats.org/officeDocument/2006/relationships/hyperlink" Target="https://baza.drom.ru/sell_spare_parts/+/skoda%20rapid%20%D0%A4%D0%B0%D1%80%D0%B0%20%D0%BF%D0%B5%D1%80%D0%B5%D0%B4%D0%BD%D1%8F%D1%8F%20(%D0%BA%D1%81%D0%B5%D0%BD%D0%BE%D0%BD)%20%D0%B1%D1%83/" TargetMode="External"/><Relationship Id="rId3" Type="http://schemas.openxmlformats.org/officeDocument/2006/relationships/hyperlink" Target="https://www.avito.ru/all/zapchasti_i_aksessuary?q=skoda%20rapid%20%D0%A4%D0%B0%D1%80%D0%B0%20%D0%BF%D0%B5%D1%80%D0%B5%D0%B4%D0%BD%D1%8F%D1%8F%20(%D0%BD%D0%B5%D0%BE%D1%80%D0%B8%D0%B3.)%20%D0%B1%D1%83" TargetMode="External"/><Relationship Id="rId4" Type="http://schemas.openxmlformats.org/officeDocument/2006/relationships/hyperlink" Target="https://baza.drom.ru/sell_spare_parts/+/skoda%20rapid%20%D0%A4%D0%B0%D1%80%D0%B0%20%D0%BF%D0%B5%D1%80%D0%B5%D0%B4%D0%BD%D1%8F%D1%8F%20(%D0%BD%D0%B5%D0%BE%D1%80%D0%B8%D0%B3.)%20%D0%B1%D1%83/" TargetMode="External"/><Relationship Id="rId5" Type="http://schemas.openxmlformats.org/officeDocument/2006/relationships/hyperlink" Target="https://www.avito.ru/all/zapchasti_i_aksessuary?q=skoda%20rapid%20%D0%A4%D0%B0%D1%80%D0%B0%20%D0%BF%D0%B5%D1%80%D0%B5%D0%B4%D0%BD%D1%8F%D1%8F%20(%D1%80%D0%B5%D1%81%D1%82.%2C%20%D0%BF%D1%80%D0%BE%D0%BA%D0%BB%D0%B5%D0%B5%D0%BD%D0%BD%D0%B0%D1%8F)%20%D0%B1%D1%83" TargetMode="External"/><Relationship Id="rId6" Type="http://schemas.openxmlformats.org/officeDocument/2006/relationships/hyperlink" Target="https://baza.drom.ru/sell_spare_parts/+/skoda%20rapid%20%D0%A4%D0%B0%D1%80%D0%B0%20%D0%BF%D0%B5%D1%80%D0%B5%D0%B4%D0%BD%D1%8F%D1%8F%20(%D1%80%D0%B5%D1%81%D1%82.%2C%20%D0%BF%D1%80%D0%BE%D0%BA%D0%BB%D0%B5%D0%B5%D0%BD%D0%BD%D0%B0%D1%8F)%20%D0%B1%D1%83/" TargetMode="External"/><Relationship Id="rId7" Type="http://schemas.openxmlformats.org/officeDocument/2006/relationships/hyperlink" Target="https://www.avito.ru/all/zapchasti_i_aksessuary?q=skoda%20rapid%20%D0%94%D0%B2%D0%B5%D1%80%D1%8C%20%D0%BF%D0%B5%D1%80%D0%B5%D0%B4%D0%BD%D1%8F%D1%8F%20%D0%BF%D1%80%D0%B0%D0%B2%D0%B0%D1%8F%20%D0%B1%D1%83" TargetMode="External"/><Relationship Id="rId8" Type="http://schemas.openxmlformats.org/officeDocument/2006/relationships/hyperlink" Target="https://baza.drom.ru/sell_spare_parts/+/skoda%20rapid%20%D0%94%D0%B2%D0%B5%D1%80%D1%8C%20%D0%BF%D0%B5%D1%80%D0%B5%D0%B4%D0%BD%D1%8F%D1%8F%20%D0%BF%D1%80%D0%B0%D0%B2%D0%B0%D1%8F%20%D0%B1%D1%83/" TargetMode="External"/><Relationship Id="rId9" Type="http://schemas.openxmlformats.org/officeDocument/2006/relationships/hyperlink" Target="https://www.avito.ru/all/zapchasti_i_aksessuary?q=skoda%20rapid%20%D0%94%D0%B2%D0%B5%D1%80%D1%8C%20%D0%B7%D0%B0%D0%B4%D0%BD%D1%8F%D1%8F%20%D0%BF%D1%80%D0%B0%D0%B2%D0%B0%D1%8F%20%D0%B1%D1%83" TargetMode="External"/><Relationship Id="rId10" Type="http://schemas.openxmlformats.org/officeDocument/2006/relationships/hyperlink" Target="https://baza.drom.ru/sell_spare_parts/+/skoda%20rapid%20%D0%94%D0%B2%D0%B5%D1%80%D1%8C%20%D0%B7%D0%B0%D0%B4%D0%BD%D1%8F%D1%8F%20%D0%BF%D1%80%D0%B0%D0%B2%D0%B0%D1%8F%20%D0%B1%D1%83/" TargetMode="External"/><Relationship Id="rId11" Type="http://schemas.openxmlformats.org/officeDocument/2006/relationships/hyperlink" Target="https://www.avito.ru/all/zapchasti_i_aksessuary?q=skoda%20rapid%20%D0%91%D0%B0%D0%BC%D0%BF%D0%B5%D1%80%20%D0%B7%D0%B0%D0%B4%D0%BD%D0%B8%D0%B9%20(%D1%81%20PDC)%20%D0%B1%D1%83" TargetMode="External"/><Relationship Id="rId12" Type="http://schemas.openxmlformats.org/officeDocument/2006/relationships/hyperlink" Target="https://baza.drom.ru/sell_spare_parts/+/skoda%20rapid%20%D0%91%D0%B0%D0%BC%D0%BF%D0%B5%D1%80%20%D0%B7%D0%B0%D0%B4%D0%BD%D0%B8%D0%B9%20(%D1%81%20PDC)%20%D0%B1%D1%83/" TargetMode="External"/><Relationship Id="rId13" Type="http://schemas.openxmlformats.org/officeDocument/2006/relationships/hyperlink" Target="https://www.avito.ru/all/zapchasti_i_aksessuary?q=skoda%20rapid%20%D0%96%D0%B0%D0%B1%D0%BE%20(%D0%BF%D0%B0%D0%BD%D0%B5%D0%BB%D1%8C%20%D0%BF%D0%BE%D0%B4%20%D1%81%D1%82%D0%B5%D0%BA%D0%BB%D0%BE%D0%BC)%20%D0%B1%D1%83" TargetMode="External"/><Relationship Id="rId14" Type="http://schemas.openxmlformats.org/officeDocument/2006/relationships/hyperlink" Target="https://baza.drom.ru/sell_spare_parts/+/skoda%20rapid%20%D0%96%D0%B0%D0%B1%D0%BE%20(%D0%BF%D0%B0%D0%BD%D0%B5%D0%BB%D1%8C%20%D0%BF%D0%BE%D0%B4%20%D1%81%D1%82%D0%B5%D0%BA%D0%BB%D0%BE%D0%BC)%20%D0%B1%D1%83/" TargetMode="External"/><Relationship Id="rId15" Type="http://schemas.openxmlformats.org/officeDocument/2006/relationships/hyperlink" Target="https://www.avito.ru/all/zapchasti_i_aksessuary?q=skoda%20rapid%20%D0%9F%D0%BE%D1%80%D0%BE%D0%B3%20%D0%BF%D1%80%D0%B0%D0%B2%D1%8B%D0%B9%20%D0%B1%D1%83" TargetMode="External"/><Relationship Id="rId16" Type="http://schemas.openxmlformats.org/officeDocument/2006/relationships/hyperlink" Target="https://baza.drom.ru/sell_spare_parts/+/skoda%20rapid%20%D0%9F%D0%BE%D1%80%D0%BE%D0%B3%20%D0%BF%D1%80%D0%B0%D0%B2%D1%8B%D0%B9%20%D0%B1%D1%83/" TargetMode="External"/><Relationship Id="rId17" Type="http://schemas.openxmlformats.org/officeDocument/2006/relationships/hyperlink" Target="https://www.avito.ru/all/zapchasti_i_aksessuary?q=skoda%20rapid%20%D0%A1%D1%83%D0%BF%D0%BF%D0%BE%D1%80%D1%82%20%D0%B7%D0%B0%D0%B4%D0%BD%D0%B8%D0%B9%20%D0%B1%D1%83" TargetMode="External"/><Relationship Id="rId18" Type="http://schemas.openxmlformats.org/officeDocument/2006/relationships/hyperlink" Target="https://baza.drom.ru/sell_spare_parts/+/skoda%20rapid%20%D0%A1%D1%83%D0%BF%D0%BF%D0%BE%D1%80%D1%82%20%D0%B7%D0%B0%D0%B4%D0%BD%D0%B8%D0%B9%20%D0%B1%D1%83/" TargetMode="External"/><Relationship Id="rId19" Type="http://schemas.openxmlformats.org/officeDocument/2006/relationships/hyperlink" Target="https://www.avito.ru/all/zapchasti_i_aksessuary?q=skoda%20rapid%20%D0%94%D0%B2%D0%B8%D0%B3%D0%B0%D1%82%D0%B5%D0%BB%D1%8C%20%D0%B2%20%D1%81%D0%B1%D0%BE%D1%80%D0%B5%20(%D0%BA%D0%BE%D0%BD%D1%82%D1%80%D0%B0%D0%BA%D1%82)%20%D0%B1%D1%83" TargetMode="External"/><Relationship Id="rId20" Type="http://schemas.openxmlformats.org/officeDocument/2006/relationships/hyperlink" Target="https://baza.drom.ru/sell_spare_parts/+/skoda%20rapid%20%D0%94%D0%B2%D0%B8%D0%B3%D0%B0%D1%82%D0%B5%D0%BB%D1%8C%20%D0%B2%20%D1%81%D0%B1%D0%BE%D1%80%D0%B5%20(%D0%BA%D0%BE%D0%BD%D1%82%D1%80%D0%B0%D0%BA%D1%82)%20%D0%B1%D1%83/" TargetMode="External"/><Relationship Id="rId21" Type="http://schemas.openxmlformats.org/officeDocument/2006/relationships/hyperlink" Target="https://www.avito.ru/all/zapchasti_i_aksessuary?q=skoda%20rapid%20%D0%90%D0%9A%D0%9F%D0%9F%20AQ250%20%D0%B1%D1%83" TargetMode="External"/><Relationship Id="rId22" Type="http://schemas.openxmlformats.org/officeDocument/2006/relationships/hyperlink" Target="https://baza.drom.ru/sell_spare_parts/+/skoda%20rapid%20%D0%90%D0%9A%D0%9F%D0%9F%20AQ250%20%D0%B1%D1%83/" TargetMode="External"/><Relationship Id="rId23" Type="http://schemas.openxmlformats.org/officeDocument/2006/relationships/hyperlink" Target="https://www.avito.ru/all/zapchasti_i_aksessuary?q=skoda%20rapid%20DSG%20DQ200%20%D0%B1%D1%83" TargetMode="External"/><Relationship Id="rId24" Type="http://schemas.openxmlformats.org/officeDocument/2006/relationships/hyperlink" Target="https://baza.drom.ru/sell_spare_parts/+/skoda%20rapid%20DSG%20DQ200%20%D0%B1%D1%83/" TargetMode="External"/><Relationship Id="rId25" Type="http://schemas.openxmlformats.org/officeDocument/2006/relationships/hyperlink" Target="https://www.avito.ru/all/zapchasti_i_aksessuary?q=skoda%20rapid%20%D0%90%D0%BC%D0%BE%D1%80%D1%82%D0%B8%D0%B7%D0%B0%D1%82%D0%BE%D1%80%20%D0%BF%D0%B5%D1%80%D0%B5%D0%B4%D0%BD%D0%B8%D0%B9%20%D0%B1%D1%83" TargetMode="External"/><Relationship Id="rId26" Type="http://schemas.openxmlformats.org/officeDocument/2006/relationships/hyperlink" Target="https://baza.drom.ru/sell_spare_parts/+/skoda%20rapid%20%D0%90%D0%BC%D0%BE%D1%80%D1%82%D0%B8%D0%B7%D0%B0%D1%82%D0%BE%D1%80%20%D0%BF%D0%B5%D1%80%D0%B5%D0%B4%D0%BD%D0%B8%D0%B9%20%D0%B1%D1%83/" TargetMode="External"/><Relationship Id="rId27" Type="http://schemas.openxmlformats.org/officeDocument/2006/relationships/hyperlink" Target="https://www.avito.ru/all/zapchasti_i_aksessuary?q=skoda%20rapid%20%D0%AD%D0%91%D0%A3%20%2F%20%D0%BF%D0%B0%D0%BD%D0%B5%D0%BB%D1%8C%20%D0%BF%D1%80%D0%B8%D0%B1%D0%BE%D1%80%D0%BE%D0%B2%20%D0%B1%D1%83" TargetMode="External"/><Relationship Id="rId28" Type="http://schemas.openxmlformats.org/officeDocument/2006/relationships/hyperlink" Target="https://baza.drom.ru/sell_spare_parts/+/skoda%20rapid%20%D0%AD%D0%91%D0%A3%20%2F%20%D0%BF%D0%B0%D0%BD%D0%B5%D0%BB%D1%8C%20%D0%BF%D1%80%D0%B8%D0%B1%D0%BE%D1%80%D0%BE%D0%B2%20%D0%B1%D1%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COUNTA('Прайс'!$C$4:$C$17)</f>
        <v>14</v>
      </c>
      <c r="C4" s="4">
        <f>COUNTA('Дашборд'!$B$9:$B$15)</f>
        <v>7</v>
      </c>
      <c r="E4" s="4">
        <f>COUNT('Прайс'!$E$4:$E$17)</f>
        <v>9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COUNTIF('Прайс'!$B$4:$B$17,A10)</f>
        <v>1</v>
      </c>
      <c r="C10" s="9">
        <f>AVERAGEIF('Прайс'!$B$4:$B$17,A10,'Прайс'!$E$4:$E$17)</f>
        <v>0</v>
      </c>
      <c r="D10" s="9">
        <f>AVERAGEIF('Прайс'!$B$4:$B$17,A10,'Прайс'!$F$4:$F$17)</f>
        <v>0</v>
      </c>
      <c r="E10" s="9">
        <f>ROUND((C10+D10)/2,0)</f>
        <v>0</v>
      </c>
      <c r="F10" s="9">
        <f>D10-C10</f>
        <v>0</v>
      </c>
    </row>
    <row r="11" spans="1:6" x14ac:dyDescent="0.25">
      <c r="A11" s="7" t="s">
        <v>13</v>
      </c>
      <c r="B11" s="8">
        <f>COUNTIF('Прайс'!$B$4:$B$17,A11)</f>
        <v>2</v>
      </c>
      <c r="C11" s="9">
        <f>AVERAGEIF('Прайс'!$B$4:$B$17,A11,'Прайс'!$E$4:$E$17)</f>
        <v>0</v>
      </c>
      <c r="D11" s="9">
        <f>AVERAGEIF('Прайс'!$B$4:$B$17,A11,'Прайс'!$F$4:$F$17)</f>
        <v>0</v>
      </c>
      <c r="E11" s="9">
        <f>ROUND((C11+D11)/2,0)</f>
        <v>0</v>
      </c>
      <c r="F11" s="9">
        <f>D11-C11</f>
        <v>0</v>
      </c>
    </row>
    <row r="12" spans="1:6" x14ac:dyDescent="0.25">
      <c r="A12" s="7" t="s">
        <v>14</v>
      </c>
      <c r="B12" s="8">
        <f>COUNTIF('Прайс'!$B$4:$B$17,A12)</f>
        <v>1</v>
      </c>
      <c r="C12" s="9">
        <f>AVERAGEIF('Прайс'!$B$4:$B$17,A12,'Прайс'!$E$4:$E$17)</f>
        <v>0</v>
      </c>
      <c r="D12" s="9">
        <f>AVERAGEIF('Прайс'!$B$4:$B$17,A12,'Прайс'!$F$4:$F$17)</f>
        <v>0</v>
      </c>
      <c r="E12" s="9">
        <f>ROUND((C12+D12)/2,0)</f>
        <v>0</v>
      </c>
      <c r="F12" s="9">
        <f>D12-C12</f>
        <v>0</v>
      </c>
    </row>
    <row r="13" spans="1:6" x14ac:dyDescent="0.25">
      <c r="A13" s="7" t="s">
        <v>15</v>
      </c>
      <c r="B13" s="8">
        <f>COUNTIF('Прайс'!$B$4:$B$17,A13)</f>
        <v>1</v>
      </c>
      <c r="C13" s="9">
        <f>AVERAGEIF('Прайс'!$B$4:$B$17,A13,'Прайс'!$E$4:$E$17)</f>
        <v>4490</v>
      </c>
      <c r="D13" s="9">
        <f>AVERAGEIF('Прайс'!$B$4:$B$17,A13,'Прайс'!$F$4:$F$17)</f>
        <v>4490</v>
      </c>
      <c r="E13" s="9">
        <f>ROUND((C13+D13)/2,0)</f>
        <v>4490</v>
      </c>
      <c r="F13" s="9">
        <f>D13-C13</f>
        <v>0</v>
      </c>
    </row>
    <row r="14" spans="1:6" x14ac:dyDescent="0.25">
      <c r="A14" s="7" t="s">
        <v>16</v>
      </c>
      <c r="B14" s="8">
        <f>COUNTIF('Прайс'!$B$4:$B$17,A14)</f>
        <v>8</v>
      </c>
      <c r="C14" s="9">
        <f>AVERAGEIF('Прайс'!$B$4:$B$17,A14,'Прайс'!$E$4:$E$17)</f>
        <v>23680</v>
      </c>
      <c r="D14" s="9">
        <f>AVERAGEIF('Прайс'!$B$4:$B$17,A14,'Прайс'!$F$4:$F$17)</f>
        <v>23680</v>
      </c>
      <c r="E14" s="9">
        <f>ROUND((C14+D14)/2,0)</f>
        <v>23680</v>
      </c>
      <c r="F14" s="9">
        <f>D14-C14</f>
        <v>0</v>
      </c>
    </row>
    <row r="15" spans="1:6" x14ac:dyDescent="0.25">
      <c r="A15" s="7" t="s">
        <v>17</v>
      </c>
      <c r="B15" s="8">
        <f>COUNTIF('Прайс'!$B$4:$B$17,A15)</f>
        <v>1</v>
      </c>
      <c r="C15" s="9">
        <f>AVERAGEIF('Прайс'!$B$4:$B$17,A15,'Прайс'!$E$4:$E$17)</f>
        <v>0</v>
      </c>
      <c r="D15" s="9">
        <f>AVERAGEIF('Прайс'!$B$4:$B$17,A15,'Прайс'!$F$4:$F$17)</f>
        <v>0</v>
      </c>
      <c r="E15" s="9">
        <f>ROUND((C15+D15)/2,0)</f>
        <v>0</v>
      </c>
      <c r="F15" s="9">
        <f>D15-C15</f>
        <v>0</v>
      </c>
    </row>
    <row r="16" spans="1:6" x14ac:dyDescent="0.25">
      <c r="A16" s="7" t="s">
        <v>18</v>
      </c>
      <c r="B16" s="8">
        <f>COUNTIF('Прайс'!$B$4:$B$17,A16)</f>
        <v>0</v>
      </c>
      <c r="C16" s="9">
        <f>AVERAGEIF('Прайс'!$B$4:$B$17,A16,'Прайс'!$E$4:$E$17)</f>
        <v>0</v>
      </c>
      <c r="D16" s="9">
        <f>AVERAGEIF('Прайс'!$B$4:$B$17,A16,'Прайс'!$F$4:$F$17)</f>
        <v>0</v>
      </c>
      <c r="E16" s="9">
        <f>ROUND((C16+D16)/2,0)</f>
        <v>0</v>
      </c>
      <c r="F16" s="9">
        <f>D16-C16</f>
        <v>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{B7C8CED8-9D1F-418F-BEB7-394D7181C266}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C8CED8-9D1F-418F-BEB7-394D7181C266}">
            <x14:dataBar minLength="0" maxLength="100">
              <x14:cfvo type="min"/>
              <x14:cfvo type="max"/>
            </x14:dataBar>
          </x14:cfRule>
          <xm:sqref>E10:E16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0" customWidth="1"/>
    <col min="9" max="9" width="14" customWidth="1"/>
    <col min="10" max="11" width="2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23</v>
      </c>
      <c r="B3" s="6" t="s">
        <v>6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10</v>
      </c>
      <c r="H3" s="6" t="s">
        <v>28</v>
      </c>
      <c r="I3" s="6" t="s">
        <v>29</v>
      </c>
      <c r="J3" s="6" t="s">
        <v>30</v>
      </c>
      <c r="K3" s="6" t="s">
        <v>31</v>
      </c>
    </row>
    <row r="4" ht="24" customHeight="1" spans="1:11" x14ac:dyDescent="0.25">
      <c r="A4" s="11">
        <v>1</v>
      </c>
      <c r="B4" s="7" t="s">
        <v>16</v>
      </c>
      <c r="C4" s="7" t="s">
        <v>32</v>
      </c>
      <c r="D4" s="7" t="s">
        <v>33</v>
      </c>
      <c r="E4" s="9">
        <v>40173</v>
      </c>
      <c r="F4" s="9">
        <v>40173</v>
      </c>
      <c r="G4" s="9">
        <f>ROUND((E4+F4)/2,0)</f>
        <v>40173</v>
      </c>
      <c r="H4" s="12" t="s">
        <v>34</v>
      </c>
      <c r="I4" s="9">
        <f>E4</f>
        <v>40173</v>
      </c>
      <c r="J4" s="13" t="s">
        <v>30</v>
      </c>
      <c r="K4" s="14" t="s">
        <v>31</v>
      </c>
    </row>
    <row r="5" ht="24" customHeight="1" spans="1:11" x14ac:dyDescent="0.25">
      <c r="A5" s="11">
        <v>2</v>
      </c>
      <c r="B5" s="7" t="s">
        <v>16</v>
      </c>
      <c r="C5" s="7" t="s">
        <v>35</v>
      </c>
      <c r="D5" s="7" t="s">
        <v>36</v>
      </c>
      <c r="E5" s="9">
        <v>14610</v>
      </c>
      <c r="F5" s="9">
        <v>14610</v>
      </c>
      <c r="G5" s="9">
        <f>ROUND((E5+F5)/2,0)</f>
        <v>14610</v>
      </c>
      <c r="H5" s="12" t="s">
        <v>37</v>
      </c>
      <c r="I5" s="9">
        <f>E5</f>
        <v>14610</v>
      </c>
      <c r="J5" s="13" t="s">
        <v>30</v>
      </c>
      <c r="K5" s="14" t="s">
        <v>31</v>
      </c>
    </row>
    <row r="6" ht="24" customHeight="1" spans="1:11" x14ac:dyDescent="0.25">
      <c r="A6" s="11">
        <v>3</v>
      </c>
      <c r="B6" s="7" t="s">
        <v>16</v>
      </c>
      <c r="C6" s="7" t="s">
        <v>38</v>
      </c>
      <c r="D6" s="7" t="s">
        <v>39</v>
      </c>
      <c r="E6" s="9">
        <v>29288</v>
      </c>
      <c r="F6" s="9">
        <v>29288</v>
      </c>
      <c r="G6" s="9">
        <f>ROUND((E6+F6)/2,0)</f>
        <v>29288</v>
      </c>
      <c r="H6" s="12" t="s">
        <v>37</v>
      </c>
      <c r="I6" s="9">
        <f>E6</f>
        <v>29288</v>
      </c>
      <c r="J6" s="13" t="s">
        <v>30</v>
      </c>
      <c r="K6" s="14" t="s">
        <v>31</v>
      </c>
    </row>
    <row r="7" ht="24" customHeight="1" spans="1:11" x14ac:dyDescent="0.25">
      <c r="A7" s="11">
        <v>4</v>
      </c>
      <c r="B7" s="7" t="s">
        <v>16</v>
      </c>
      <c r="C7" s="7" t="s">
        <v>40</v>
      </c>
      <c r="D7" s="7" t="s">
        <v>41</v>
      </c>
      <c r="E7" s="9">
        <v>16702</v>
      </c>
      <c r="F7" s="9">
        <v>16702</v>
      </c>
      <c r="G7" s="9">
        <f>ROUND((E7+F7)/2,0)</f>
        <v>16702</v>
      </c>
      <c r="H7" s="12" t="s">
        <v>37</v>
      </c>
      <c r="I7" s="9">
        <f>E7</f>
        <v>16702</v>
      </c>
      <c r="J7" s="13" t="s">
        <v>30</v>
      </c>
      <c r="K7" s="14" t="s">
        <v>31</v>
      </c>
    </row>
    <row r="8" ht="24" customHeight="1" spans="1:11" x14ac:dyDescent="0.25">
      <c r="A8" s="11">
        <v>5</v>
      </c>
      <c r="B8" s="7" t="s">
        <v>16</v>
      </c>
      <c r="C8" s="7" t="s">
        <v>42</v>
      </c>
      <c r="D8" s="7" t="s">
        <v>43</v>
      </c>
      <c r="E8" s="9">
        <v>20920</v>
      </c>
      <c r="F8" s="9">
        <v>20920</v>
      </c>
      <c r="G8" s="9">
        <f>ROUND((E8+F8)/2,0)</f>
        <v>20920</v>
      </c>
      <c r="H8" s="12" t="s">
        <v>37</v>
      </c>
      <c r="I8" s="9">
        <f>E8</f>
        <v>20920</v>
      </c>
      <c r="J8" s="13" t="s">
        <v>30</v>
      </c>
      <c r="K8" s="14" t="s">
        <v>31</v>
      </c>
    </row>
    <row r="9" ht="24" customHeight="1" spans="1:11" x14ac:dyDescent="0.25">
      <c r="A9" s="11">
        <v>6</v>
      </c>
      <c r="B9" s="7" t="s">
        <v>16</v>
      </c>
      <c r="C9" s="7" t="s">
        <v>44</v>
      </c>
      <c r="D9" s="7" t="s">
        <v>45</v>
      </c>
      <c r="E9" s="9">
        <v>38621</v>
      </c>
      <c r="F9" s="9">
        <v>38621</v>
      </c>
      <c r="G9" s="9">
        <f>ROUND((E9+F9)/2,0)</f>
        <v>38621</v>
      </c>
      <c r="H9" s="12" t="s">
        <v>37</v>
      </c>
      <c r="I9" s="9">
        <f>E9</f>
        <v>38621</v>
      </c>
      <c r="J9" s="13" t="s">
        <v>30</v>
      </c>
      <c r="K9" s="14" t="s">
        <v>31</v>
      </c>
    </row>
    <row r="10" ht="24" customHeight="1" spans="1:11" x14ac:dyDescent="0.25">
      <c r="A10" s="11">
        <v>7</v>
      </c>
      <c r="B10" s="7" t="s">
        <v>16</v>
      </c>
      <c r="C10" s="7" t="s">
        <v>46</v>
      </c>
      <c r="D10" s="7" t="s">
        <v>47</v>
      </c>
      <c r="E10" s="9">
        <v>4023</v>
      </c>
      <c r="F10" s="9">
        <v>4023</v>
      </c>
      <c r="G10" s="9">
        <f>ROUND((E10+F10)/2,0)</f>
        <v>4023</v>
      </c>
      <c r="H10" s="12" t="s">
        <v>37</v>
      </c>
      <c r="I10" s="9">
        <f>E10</f>
        <v>4023</v>
      </c>
      <c r="J10" s="13" t="s">
        <v>30</v>
      </c>
      <c r="K10" s="14" t="s">
        <v>31</v>
      </c>
    </row>
    <row r="11" ht="24" customHeight="1" spans="1:11" x14ac:dyDescent="0.25">
      <c r="A11" s="11">
        <v>8</v>
      </c>
      <c r="B11" s="7" t="s">
        <v>16</v>
      </c>
      <c r="C11" s="7" t="s">
        <v>48</v>
      </c>
      <c r="D11" s="7" t="s">
        <v>49</v>
      </c>
      <c r="E11" s="9">
        <v>25104</v>
      </c>
      <c r="F11" s="9">
        <v>25104</v>
      </c>
      <c r="G11" s="9">
        <f>ROUND((E11+F11)/2,0)</f>
        <v>25104</v>
      </c>
      <c r="H11" s="12" t="s">
        <v>37</v>
      </c>
      <c r="I11" s="9">
        <f>E11</f>
        <v>25104</v>
      </c>
      <c r="J11" s="13" t="s">
        <v>30</v>
      </c>
      <c r="K11" s="14" t="s">
        <v>31</v>
      </c>
    </row>
    <row r="12" ht="24" customHeight="1" spans="1:11" x14ac:dyDescent="0.25">
      <c r="A12" s="11">
        <v>9</v>
      </c>
      <c r="B12" s="7" t="s">
        <v>15</v>
      </c>
      <c r="C12" s="7" t="s">
        <v>50</v>
      </c>
      <c r="D12" s="7" t="s">
        <v>49</v>
      </c>
      <c r="E12" s="9">
        <v>4490</v>
      </c>
      <c r="F12" s="9">
        <v>4490</v>
      </c>
      <c r="G12" s="9">
        <f>ROUND((E12+F12)/2,0)</f>
        <v>4490</v>
      </c>
      <c r="H12" s="12" t="s">
        <v>51</v>
      </c>
      <c r="I12" s="9">
        <f>E12</f>
        <v>4490</v>
      </c>
      <c r="J12" s="13" t="s">
        <v>30</v>
      </c>
      <c r="K12" s="14" t="s">
        <v>31</v>
      </c>
    </row>
    <row r="13" ht="24" customHeight="1" spans="1:11" x14ac:dyDescent="0.25">
      <c r="A13" s="11">
        <v>10</v>
      </c>
      <c r="B13" s="7" t="s">
        <v>12</v>
      </c>
      <c r="C13" s="7" t="s">
        <v>52</v>
      </c>
      <c r="D13" s="7" t="s">
        <v>53</v>
      </c>
      <c r="E13" s="15" t="s">
        <v>54</v>
      </c>
      <c r="F13" s="15" t="s">
        <v>54</v>
      </c>
      <c r="G13" s="15" t="s">
        <v>54</v>
      </c>
      <c r="H13" s="12" t="s">
        <v>55</v>
      </c>
      <c r="I13" s="15" t="s">
        <v>54</v>
      </c>
      <c r="J13" s="13" t="s">
        <v>30</v>
      </c>
      <c r="K13" s="14" t="s">
        <v>31</v>
      </c>
    </row>
    <row r="14" ht="24" customHeight="1" spans="1:11" x14ac:dyDescent="0.25">
      <c r="A14" s="11">
        <v>11</v>
      </c>
      <c r="B14" s="7" t="s">
        <v>13</v>
      </c>
      <c r="C14" s="7" t="s">
        <v>56</v>
      </c>
      <c r="D14" s="7" t="s">
        <v>57</v>
      </c>
      <c r="E14" s="15" t="s">
        <v>54</v>
      </c>
      <c r="F14" s="15" t="s">
        <v>54</v>
      </c>
      <c r="G14" s="15" t="s">
        <v>54</v>
      </c>
      <c r="H14" s="12" t="s">
        <v>58</v>
      </c>
      <c r="I14" s="15" t="s">
        <v>54</v>
      </c>
      <c r="J14" s="13" t="s">
        <v>30</v>
      </c>
      <c r="K14" s="14" t="s">
        <v>31</v>
      </c>
    </row>
    <row r="15" ht="24" customHeight="1" spans="1:11" x14ac:dyDescent="0.25">
      <c r="A15" s="11">
        <v>12</v>
      </c>
      <c r="B15" s="7" t="s">
        <v>13</v>
      </c>
      <c r="C15" s="7" t="s">
        <v>59</v>
      </c>
      <c r="D15" s="7" t="s">
        <v>60</v>
      </c>
      <c r="E15" s="15" t="s">
        <v>54</v>
      </c>
      <c r="F15" s="15" t="s">
        <v>54</v>
      </c>
      <c r="G15" s="15" t="s">
        <v>54</v>
      </c>
      <c r="H15" s="12" t="s">
        <v>58</v>
      </c>
      <c r="I15" s="15" t="s">
        <v>54</v>
      </c>
      <c r="J15" s="13" t="s">
        <v>30</v>
      </c>
      <c r="K15" s="14" t="s">
        <v>31</v>
      </c>
    </row>
    <row r="16" ht="24" customHeight="1" spans="1:11" x14ac:dyDescent="0.25">
      <c r="A16" s="11">
        <v>13</v>
      </c>
      <c r="B16" s="7" t="s">
        <v>14</v>
      </c>
      <c r="C16" s="7" t="s">
        <v>61</v>
      </c>
      <c r="D16" s="7" t="s">
        <v>49</v>
      </c>
      <c r="E16" s="15" t="s">
        <v>54</v>
      </c>
      <c r="F16" s="15" t="s">
        <v>54</v>
      </c>
      <c r="G16" s="15" t="s">
        <v>54</v>
      </c>
      <c r="H16" s="12" t="s">
        <v>58</v>
      </c>
      <c r="I16" s="15" t="s">
        <v>54</v>
      </c>
      <c r="J16" s="13" t="s">
        <v>30</v>
      </c>
      <c r="K16" s="14" t="s">
        <v>31</v>
      </c>
    </row>
    <row r="17" ht="24" customHeight="1" spans="1:11" x14ac:dyDescent="0.25">
      <c r="A17" s="11">
        <v>14</v>
      </c>
      <c r="B17" s="7" t="s">
        <v>17</v>
      </c>
      <c r="C17" s="7" t="s">
        <v>62</v>
      </c>
      <c r="D17" s="7" t="s">
        <v>49</v>
      </c>
      <c r="E17" s="15" t="s">
        <v>54</v>
      </c>
      <c r="F17" s="15" t="s">
        <v>54</v>
      </c>
      <c r="G17" s="15" t="s">
        <v>54</v>
      </c>
      <c r="H17" s="12" t="s">
        <v>58</v>
      </c>
      <c r="I17" s="15" t="s">
        <v>54</v>
      </c>
      <c r="J17" s="13" t="s">
        <v>30</v>
      </c>
      <c r="K17" s="14" t="s">
        <v>31</v>
      </c>
    </row>
  </sheetData>
  <autoFilter ref="A3:K17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63</v>
      </c>
      <c r="B1" s="1"/>
      <c r="C1" s="1"/>
      <c r="D1" s="1"/>
    </row>
    <row r="2" ht="32" customHeight="1" spans="1:4" x14ac:dyDescent="0.25">
      <c r="A2" s="2" t="s">
        <v>22</v>
      </c>
      <c r="B2" s="2"/>
      <c r="C2" s="2"/>
      <c r="D2" s="2"/>
    </row>
    <row r="3" spans="1:4" x14ac:dyDescent="0.25">
      <c r="A3" s="6" t="s">
        <v>64</v>
      </c>
      <c r="B3" s="6" t="s">
        <v>65</v>
      </c>
      <c r="C3" s="6" t="s">
        <v>66</v>
      </c>
      <c r="D3" s="6" t="s">
        <v>28</v>
      </c>
    </row>
    <row r="4" spans="1:4" x14ac:dyDescent="0.25">
      <c r="A4" s="7" t="s">
        <v>67</v>
      </c>
      <c r="B4" s="12" t="s">
        <v>68</v>
      </c>
      <c r="C4" s="7" t="s">
        <v>69</v>
      </c>
      <c r="D4" s="7" t="s">
        <v>70</v>
      </c>
    </row>
    <row r="5" spans="1:4" x14ac:dyDescent="0.25">
      <c r="A5" s="7" t="s">
        <v>71</v>
      </c>
      <c r="B5" s="12" t="s">
        <v>72</v>
      </c>
      <c r="C5" s="7" t="s">
        <v>73</v>
      </c>
      <c r="D5" s="7" t="s">
        <v>74</v>
      </c>
    </row>
    <row r="6" spans="1:4" x14ac:dyDescent="0.25">
      <c r="A6" s="7" t="s">
        <v>75</v>
      </c>
      <c r="B6" s="12" t="s">
        <v>76</v>
      </c>
      <c r="C6" s="7" t="s">
        <v>77</v>
      </c>
      <c r="D6" s="7" t="s">
        <v>78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Прайс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