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ашборд" state="visible" r:id="rId4"/>
    <sheet sheetId="2" name="Прайс" state="visible" r:id="rId5"/>
    <sheet sheetId="3" name="Источники" state="visible" r:id="rId6"/>
    <sheet sheetId="4" name="О прайсе" state="visible" r:id="rId7"/>
  </sheets>
  <calcPr calcId="171027"/>
</workbook>
</file>

<file path=xl/sharedStrings.xml><?xml version="1.0" encoding="utf-8"?>
<sst xmlns="http://schemas.openxmlformats.org/spreadsheetml/2006/main" count="698" uniqueCount="258">
  <si>
    <t>Сводка по бу-запчастям Kia Rio 2019 1.4 Comfort</t>
  </si>
  <si>
    <t>Считается автоматически с листа «Прайс». Цены — диапазоны объявлений 2025–2026 гг., вся Россия.</t>
  </si>
  <si>
    <t>Позиций в таблице</t>
  </si>
  <si>
    <t>Категорий</t>
  </si>
  <si>
    <t>Позиций с ценой</t>
  </si>
  <si>
    <t>По категориям</t>
  </si>
  <si>
    <t>Категория</t>
  </si>
  <si>
    <t>Позиций</t>
  </si>
  <si>
    <t>Ср. мин, руб</t>
  </si>
  <si>
    <t>Ср. макс, руб</t>
  </si>
  <si>
    <t>Ср. цена, руб</t>
  </si>
  <si>
    <t>Диапазон</t>
  </si>
  <si>
    <t>Двигатель</t>
  </si>
  <si>
    <t>Трансмиссия и привод</t>
  </si>
  <si>
    <t>Подвеска и рулевое</t>
  </si>
  <si>
    <t>Тормоза</t>
  </si>
  <si>
    <t>Кузов и оптика</t>
  </si>
  <si>
    <t>Электрика</t>
  </si>
  <si>
    <t>Салон</t>
  </si>
  <si>
    <t>Как читать таблицу</t>
  </si>
  <si>
    <t>• Цены — диапазон реальных предложений б/у по всей России; итог зависит от состояния, региона и пробега донора.</t>
  </si>
  <si>
    <t>• «—» в колонке цены: публичные объявления с ценой не найдены — цена уточняется у конкретной разборки по телефону.</t>
  </si>
  <si>
    <t>• Kia Rio 2019 1.4 Comfort: двигатель G4LC (цепь ГРМ, ЭУР вместо ГУР, передний привод — заднего редуктора нет).</t>
  </si>
  <si>
    <t>• Данные: Avito, Дром (baza.drom.ru), агрегатор предложений разборок XBaz — сентябрь 2026.</t>
  </si>
  <si>
    <t>БУ-запчасти Kia Rio 2019 1.4 Comfort (4-е поколение, G4LC 100 л.с.)</t>
  </si>
  <si>
    <t>Актуальные цены российского рынка (Avito, Дром, XBaz-агрегатор разборок), сентябрь 2026. «Лучшая цена» = минимальная из найденных; ссылки открывают поиск этой детали на Avito и Дроме — сайт не важен, выбирайте где дешевле.</t>
  </si>
  <si>
    <t>№</t>
  </si>
  <si>
    <t>Деталь</t>
  </si>
  <si>
    <t>Артикул / ориентир</t>
  </si>
  <si>
    <t>Цена мин, руб</t>
  </si>
  <si>
    <t>Цена макс, руб</t>
  </si>
  <si>
    <t>Примечание</t>
  </si>
  <si>
    <t>Лучшая цена, руб</t>
  </si>
  <si>
    <t>Avito</t>
  </si>
  <si>
    <t>Дром</t>
  </si>
  <si>
    <t>Двигатель в сборе (контрактный G4LC 1.4)</t>
  </si>
  <si>
    <t>G4LC</t>
  </si>
  <si>
    <t>Б/у контрактные 89–99 тыс.; новые контрактные до 120–135 тыс. (XBaz, Дром)</t>
  </si>
  <si>
    <t>ГБЦ в сборе (головка блока)</t>
  </si>
  <si>
    <t>G4LC/G4LA</t>
  </si>
  <si>
    <t>В сборе, Recyрс Москва (Дром)</t>
  </si>
  <si>
    <t>Блок цилиндров</t>
  </si>
  <si>
    <t>2110003940</t>
  </si>
  <si>
    <t>Rio 4 2019 ~15 тыс. (Ярославль); перебор 9–25,7 тыс. (Дром)</t>
  </si>
  <si>
    <t>Поддон двигателя</t>
  </si>
  <si>
    <t>2113503920</t>
  </si>
  <si>
    <t>Полуподдон 8–10 тыс.; поддон 13,6–16,2 тыс. (Дром)</t>
  </si>
  <si>
    <t>Клапанная крышка</t>
  </si>
  <si>
    <t>Оригинал б/у (Avito)</t>
  </si>
  <si>
    <t>Форсунки (1 шт / комплект)</t>
  </si>
  <si>
    <t>1.4 G4LC</t>
  </si>
  <si>
    <t>—</t>
  </si>
  <si>
    <t>Бу-цены не публикуются, по запросу разборок</t>
  </si>
  <si>
    <t>Топливный насос (модуль в баке)</t>
  </si>
  <si>
    <t>311104L000</t>
  </si>
  <si>
    <t>Цены по запросу разборок</t>
  </si>
  <si>
    <t>Датчик расхода воздуха (MAF)</t>
  </si>
  <si>
    <t>1.6 G4FG совм.</t>
  </si>
  <si>
    <t>Для 1.4 G4LC уточнять (Avito)</t>
  </si>
  <si>
    <t>Датчики (коленвала/детонации/темп.)</t>
  </si>
  <si>
    <t>1.4</t>
  </si>
  <si>
    <t>Детонация 270 ₽; коленвал 1,8–2,5 тыс. (Avito, Inycar)</t>
  </si>
  <si>
    <t>Дроссельная заслонка</t>
  </si>
  <si>
    <t>Впускной коллектор (ресивер)</t>
  </si>
  <si>
    <t>Водяной насос (помпа)</t>
  </si>
  <si>
    <t>Как правило меняется на новый</t>
  </si>
  <si>
    <t>Термостат в сборе</t>
  </si>
  <si>
    <t>Радиатор охлаждения</t>
  </si>
  <si>
    <t>25310H5000</t>
  </si>
  <si>
    <t>Частные объявления (Avito)</t>
  </si>
  <si>
    <t>Вентилятор охлаждения (с кожухом)</t>
  </si>
  <si>
    <t>Патрубки/шланги охлаждения</t>
  </si>
  <si>
    <t>Обычно новые</t>
  </si>
  <si>
    <t>Катушка зажигания (1 шт)</t>
  </si>
  <si>
    <t>2730103200</t>
  </si>
  <si>
    <t>Ориентир контракт/новые; бу уточнять (Avito)</t>
  </si>
  <si>
    <t>Цепь ГРМ (комплект)</t>
  </si>
  <si>
    <t>Привод цепной; бу почти не встречается, меняется на новый</t>
  </si>
  <si>
    <t>Генератор (бу/восстановленный)</t>
  </si>
  <si>
    <t>37300-03870</t>
  </si>
  <si>
    <t>Много предложений, цены по запросу (Avito)</t>
  </si>
  <si>
    <t>Стартер (бу/восстановленный)</t>
  </si>
  <si>
    <t>36100-03853</t>
  </si>
  <si>
    <t>Контрактные в наличии, цена по запросу</t>
  </si>
  <si>
    <t>Компрессор кондиционера</t>
  </si>
  <si>
    <t>97701H5000</t>
  </si>
  <si>
    <t>В рублях не подтверждена, уточнять</t>
  </si>
  <si>
    <t>Катализатор (снятый небитый)</t>
  </si>
  <si>
    <t>1.4/1.6</t>
  </si>
  <si>
    <t>Avito (с Рио 1.6, 170 тыс. км)</t>
  </si>
  <si>
    <t>Выпускной коллектор (с катализатором)</t>
  </si>
  <si>
    <t>Резонатор / глушитель в сборе</t>
  </si>
  <si>
    <t>28600H5100</t>
  </si>
  <si>
    <t>1.4 G4LC 4,1–9 тыс.; до 15 тыс. (Дром)</t>
  </si>
  <si>
    <t>Масляный насос</t>
  </si>
  <si>
    <t>2131003800</t>
  </si>
  <si>
    <t>Оригинал; бу-цена не подтверждена (клуб)</t>
  </si>
  <si>
    <t>Радиатор отопителя (печки)</t>
  </si>
  <si>
    <t>Новый аналог 5 310 ₽; бу дешевле (Avito)</t>
  </si>
  <si>
    <t>Моторчик отопителя (печки)</t>
  </si>
  <si>
    <t>Моторчик 2 222 ₽; корпус печки 5–5,6 тыс. (Avito)</t>
  </si>
  <si>
    <t>Выпускной коллектор</t>
  </si>
  <si>
    <t>Уточнять у разборок</t>
  </si>
  <si>
    <t>АКПП 6-ст (A6GF1, контракт)</t>
  </si>
  <si>
    <t>A6GF1</t>
  </si>
  <si>
    <t>Rio 4 2019 1.4 — 99,9–100 тыс. (XBaz, Дром)</t>
  </si>
  <si>
    <t>МКПП 6-ст (б/у)</t>
  </si>
  <si>
    <t>M6CF1</t>
  </si>
  <si>
    <t>Avito (2017–2022, 1.4 G4LC)</t>
  </si>
  <si>
    <t>Сцепление (комплект, б/у)</t>
  </si>
  <si>
    <t>Бу 3,9 тыс. (справочно 1.4); новый аналог 9,5 тыс.</t>
  </si>
  <si>
    <t>Полуоси (приводы)</t>
  </si>
  <si>
    <t>49500H0300</t>
  </si>
  <si>
    <t>Цены по запросу; новые от ~9,2 тыс.</t>
  </si>
  <si>
    <t>ШРУС</t>
  </si>
  <si>
    <t>Редуктор заднего моста</t>
  </si>
  <si>
    <t>Не применимо — передний привод</t>
  </si>
  <si>
    <t>Рычаг передний нижний</t>
  </si>
  <si>
    <t>54500H5000</t>
  </si>
  <si>
    <t>Оригинал б/у есть, цена по запросу</t>
  </si>
  <si>
    <t>Сайлентблоки / шаровые</t>
  </si>
  <si>
    <t>54584H5000</t>
  </si>
  <si>
    <t>Бу рынок не распространён — обычно новые</t>
  </si>
  <si>
    <t>Амортизатор передний</t>
  </si>
  <si>
    <t>Бу от 1,5 тыс. (Avito); контракт до 4 тыс.</t>
  </si>
  <si>
    <t>Амортизатор задний</t>
  </si>
  <si>
    <t>55300H5050</t>
  </si>
  <si>
    <t>Пружины передние / задние</t>
  </si>
  <si>
    <t>Бу редки, обычно новые</t>
  </si>
  <si>
    <t>Стойки стабилизатора</t>
  </si>
  <si>
    <t>Бу редки; новые от ~700 ₽</t>
  </si>
  <si>
    <t>Подшипник ступицы</t>
  </si>
  <si>
    <t>Рулевая рейка (восст.)</t>
  </si>
  <si>
    <t>577004L000</t>
  </si>
  <si>
    <t>Предложения есть, цена по запросу</t>
  </si>
  <si>
    <t>Электроусилитель ЭУР (колонка)</t>
  </si>
  <si>
    <t>56300H0760</t>
  </si>
  <si>
    <t>Бу, пробег 44 тыс. (Дром)</t>
  </si>
  <si>
    <t>Рулевые тяги и наконечники</t>
  </si>
  <si>
    <t>Передний подрамник</t>
  </si>
  <si>
    <t>62401H5000</t>
  </si>
  <si>
    <t>Балка задней подвески</t>
  </si>
  <si>
    <t>55100H5300</t>
  </si>
  <si>
    <t>Суппорт передний (б/у)</t>
  </si>
  <si>
    <t>58130H5250</t>
  </si>
  <si>
    <t>Rio 4 2019 ~1,5–3,6 тыс./шт (Дром, Тюмень/Саратов)</t>
  </si>
  <si>
    <t>Суппорт задний (б/у)</t>
  </si>
  <si>
    <t>Один 1,5–4 тыс.; пара 7–8,2 тыс. (Дром)</t>
  </si>
  <si>
    <t>Тормозные диски (б/у)</t>
  </si>
  <si>
    <t>Вакуумный усилитель / ГТЦ</t>
  </si>
  <si>
    <t>Блок ABS</t>
  </si>
  <si>
    <t>58920H5220</t>
  </si>
  <si>
    <t>Rio 4 1.4 G4LC 3,6–7,5 тыс. (Фарпост)</t>
  </si>
  <si>
    <t>Подушка делителя / шланги тормозные</t>
  </si>
  <si>
    <t>Фара передняя (б/у)</t>
  </si>
  <si>
    <t>дорест/рест</t>
  </si>
  <si>
    <t>Дорест с корректором 7 тыс.; рест 14–15 тыс. (XBaz)</t>
  </si>
  <si>
    <t>Задний фонарь (б/у, за шт)</t>
  </si>
  <si>
    <t>Sedan</t>
  </si>
  <si>
    <t>Лев 9,5 тыс.; прав дорест 5 тыс. (XBaz)</t>
  </si>
  <si>
    <t>Капот (б/у)</t>
  </si>
  <si>
    <t>Под ремонт 4–6,5 тыс.; чистый 15–25 тыс. (XBaz)</t>
  </si>
  <si>
    <t>Крыло переднее (б/у)</t>
  </si>
  <si>
    <t>Под ремонт 2–5 тыс.; норма 9,9–24 тыс. (XBaz)</t>
  </si>
  <si>
    <t>Бампер передний (б/у)</t>
  </si>
  <si>
    <t>дорест/X-Line</t>
  </si>
  <si>
    <t>Оригинал 4–9,5 тыс.; X-Line 8–12 тыс. (XBaz)</t>
  </si>
  <si>
    <t>Бампер задний (б/у)</t>
  </si>
  <si>
    <t>С дефектом 5–8 тыс.; рест X с ПТФ 25,5 тыс. (XBaz)</t>
  </si>
  <si>
    <t>Дверь передняя (б/у)</t>
  </si>
  <si>
    <t>С дефектом от 11 тыс.; хорошее 55–65 тыс. (XBaz)</t>
  </si>
  <si>
    <t>Дверь задняя (б/у)</t>
  </si>
  <si>
    <t>~40 тыс. (XBaz)</t>
  </si>
  <si>
    <t>Лобовое стекло (снятое)</t>
  </si>
  <si>
    <t>Без обогрева 2–4 тыс.; с полным обогревом до 15,5 тыс. (XBaz)</t>
  </si>
  <si>
    <t>Боковое зеркало (электропривод)</t>
  </si>
  <si>
    <t>Оригинал б/у левое ~2 тыс. (XBaz)</t>
  </si>
  <si>
    <t>Решётка радиатора (б/у)</t>
  </si>
  <si>
    <t>С дефектами 1–3,5 тыс.; X-Line хром 6–10,5 тыс.</t>
  </si>
  <si>
    <t>Крышка багажника / спойлер</t>
  </si>
  <si>
    <t>Крышка 20–25 тыс.; спойлер от 1,3 тыс. (XBaz)</t>
  </si>
  <si>
    <t>Молдинги / хром-накладки</t>
  </si>
  <si>
    <t>X-Line</t>
  </si>
  <si>
    <t>За шт (XBaz)</t>
  </si>
  <si>
    <t>Подкрылки (локеры)</t>
  </si>
  <si>
    <t>рест</t>
  </si>
  <si>
    <t>XBaz</t>
  </si>
  <si>
    <t>Блок управления двигателем (ECU)</t>
  </si>
  <si>
    <t>Ярославль/Новосибирск (XBaz)</t>
  </si>
  <si>
    <t>Моторчик стеклоподъёмника</t>
  </si>
  <si>
    <t>Передние/задние (XBaz)</t>
  </si>
  <si>
    <t>Мотор отопителя / корпус печки</t>
  </si>
  <si>
    <t>Моторчик 3,1–3,5 тыс.; корпус 5–5,6 тыс. (XBaz)</t>
  </si>
  <si>
    <t>Трапеция стеклоочистителя с мотором</t>
  </si>
  <si>
    <t>Обычно 3,5–6 тыс. (XBaz)</t>
  </si>
  <si>
    <t>Замок двери с актуатором</t>
  </si>
  <si>
    <t>Задние 2,2–5,5 тыс.; передние 4,5–8,5 тыс. (XBaz)</t>
  </si>
  <si>
    <t>Замок зажигания / кнопка пуска</t>
  </si>
  <si>
    <t>Без ключа от 0,7 тыс.; с ключом 4–8 тыс. (XBaz)</t>
  </si>
  <si>
    <t>Панель приборов</t>
  </si>
  <si>
    <t>Обычно 4–5 тыс. (XBaz)</t>
  </si>
  <si>
    <t>Жгут проводки</t>
  </si>
  <si>
    <t>Фонари 1,7 тыс.; салон 5 тыс. (Дром/XBaz)</t>
  </si>
  <si>
    <t>Мультимедиа (штатное ГУ)</t>
  </si>
  <si>
    <t>Без навигации 2,5–4,7 тыс.; с навигацией 16–20 тыс. (XBaz)</t>
  </si>
  <si>
    <t>Датчики парковки</t>
  </si>
  <si>
    <t>За шт 1–3,9 тыс.; парктроник в сборе 2–7 тыс. (XBaz)</t>
  </si>
  <si>
    <t>Сиденье переднее (в сборе)</t>
  </si>
  <si>
    <t>Оригинал б/у с подогревом (XBaz)</t>
  </si>
  <si>
    <t>Задний диван</t>
  </si>
  <si>
    <t>Комплект б/у (XBaz)</t>
  </si>
  <si>
    <t>Подушка безопасности (airbag)</t>
  </si>
  <si>
    <t>Комплект б/у 35 тыс.; муляж/заглушка 1–3 тыс. (XBaz/Avito)</t>
  </si>
  <si>
    <t>Руль (с подушкой / без)</t>
  </si>
  <si>
    <t>С обогревом 10–15 тыс.; кожа/Red-Line 19–23 тыс. (XBaz)</t>
  </si>
  <si>
    <t>Обшивка торпедо</t>
  </si>
  <si>
    <t>дорест</t>
  </si>
  <si>
    <t>С трещиной 7 тыс.; с подушками до 45 тыс. (XBaz)</t>
  </si>
  <si>
    <t>Дверные карты / обшивки</t>
  </si>
  <si>
    <t>Передние 1,9–2,5 тыс.; задние 1,5–3,5 тыс. (XBaz)</t>
  </si>
  <si>
    <t>Обивка потолка</t>
  </si>
  <si>
    <t>FB 2019</t>
  </si>
  <si>
    <t>Обивка багажника</t>
  </si>
  <si>
    <t>Источники и площадки поиска</t>
  </si>
  <si>
    <t>Цены собраны из публичных объявлений и каталогов разборок 2025–2026 гг.</t>
  </si>
  <si>
    <t>Площадка</t>
  </si>
  <si>
    <t>Что искать</t>
  </si>
  <si>
    <t>Тип</t>
  </si>
  <si>
    <t>Любые бу-запчасти Rio 4</t>
  </si>
  <si>
    <t>Доска объявлений</t>
  </si>
  <si>
    <t>Основной источник наличия; часть цен скрыта в объявлениях</t>
  </si>
  <si>
    <t>Дром / baza.drom.ru</t>
  </si>
  <si>
    <t>Двигатель, ГБЦ, суппорта, ЭУР, блок ABS, резонатор</t>
  </si>
  <si>
    <t>База объявлений</t>
  </si>
  <si>
    <t>Конкретные цены от разборок, вся Россия</t>
  </si>
  <si>
    <t>XBaz (xbaz.ru)</t>
  </si>
  <si>
    <t>Кузов, оптика, электрика, салон, ECU</t>
  </si>
  <si>
    <t>Агрегатор разборок</t>
  </si>
  <si>
    <t>Сводит предложения Kar Market, SPART, ZapMap, Прогресс и др.</t>
  </si>
  <si>
    <t>Фарпост (farpost.ru)</t>
  </si>
  <si>
    <t>Блок ABS, электроника</t>
  </si>
  <si>
    <t>Контрактные запчасти</t>
  </si>
  <si>
    <t>X-BAZ — каталог Rio 4</t>
  </si>
  <si>
    <t>Все категории</t>
  </si>
  <si>
    <t>Агрегатор</t>
  </si>
  <si>
    <t>ak-riq 4 поколение 2016–2026</t>
  </si>
  <si>
    <t>Магазины (Inycar, sloboda-avto, rioclub)</t>
  </si>
  <si>
    <t>Датчики, стартер, масляный насос</t>
  </si>
  <si>
    <t>Магазин/клуб</t>
  </si>
  <si>
    <t>Ориентир цен, в т.ч. новые аналоги</t>
  </si>
  <si>
    <t>ExcelPrice — цены на любые запчасти</t>
  </si>
  <si>
    <t>Полные прайс-листы по моделям авто: все запчасти + актуальные цены со всего интернета</t>
  </si>
  <si>
    <t>Заказать свой прайс: https://excelprice.ru</t>
  </si>
  <si>
    <t>Контакты:</t>
  </si>
  <si>
    <t>Telegram: @Excelprice</t>
  </si>
  <si>
    <t>WhatsApp: +7 (900) 000-44-69</t>
  </si>
  <si>
    <t>Email: dot.akc@yandex.ru</t>
  </si>
  <si>
    <t>Если этот файл вам прислали — вы можете заказать такой же прайс на свою модель на сайте excelprice.ru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</si>
</sst>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[Red]-#,##0"/>
    <numFmt numFmtId="165" formatCode="#,##0&quot; ₽&quot;;[Red]-#,##0&quot; ₽&quot;"/>
  </numFmts>
  <fonts count="15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sz val="10"/>
      <color rgb="FF1F2A37"/>
      <name val="Calibri"/>
    </font>
    <font>
      <b/>
      <sz val="9"/>
      <color rgb="FF667085"/>
      <name val="Calibri"/>
    </font>
    <font>
      <b/>
      <sz val="15"/>
      <color rgb="FF1F2A37"/>
      <name val="Calibri"/>
    </font>
    <font>
      <b/>
      <sz val="11"/>
      <color rgb="FF1F2A37"/>
      <name val="Calibri"/>
    </font>
    <font>
      <b/>
      <sz val="10"/>
      <color rgb="FFFFFFFF"/>
      <name val="Calibri"/>
    </font>
    <font>
      <sz val="10"/>
      <color rgb="FF667085"/>
      <name val="Calibri"/>
    </font>
    <font>
      <u/>
      <sz val="10"/>
      <color rgb="FF2F5597"/>
      <name val="Calibri"/>
    </font>
    <font>
      <u/>
      <sz val="10"/>
      <color rgb="FF2A7F77"/>
      <name val="Calibri"/>
    </font>
    <font>
      <b/>
      <sz val="18"/>
      <color rgb="FF2F5597"/>
      <name val="Calibri"/>
    </font>
    <font>
      <sz val="11"/>
      <color rgb="FF667085"/>
      <name val="Calibri"/>
    </font>
    <font>
      <b/>
      <u/>
      <sz val="13"/>
      <color rgb="FF2A7F77"/>
      <name val="Calibri"/>
    </font>
    <font>
      <sz val="11"/>
      <color rgb="FF1F2A37"/>
      <name val="Calibri"/>
    </font>
    <font>
      <i/>
      <sz val="10"/>
      <color rgb="FF667085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AF1FB"/>
      </patternFill>
    </fill>
    <fill>
      <patternFill patternType="solid">
        <fgColor rgb="FFE8F5F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3" fillId="4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2" fillId="0" borderId="0" xfId="0" applyFont="1"/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vito.ru/all/zapchasti_i_aksessuary?q=kia%20rio%204%20%D0%94%D0%B2%D0%B8%D0%B3%D0%B0%D1%82%D0%B5%D0%BB%D1%8C%20%D0%B2%20%D1%81%D0%B1%D0%BE%D1%80%D0%B5%20(%D0%BA%D0%BE%D0%BD%D1%82%D1%80%D0%B0%D0%BA%D1%82%D0%BD%D1%8B%D0%B9%20G4LC%201.4)%20%D0%B1%D1%83" TargetMode="External"/><Relationship Id="rId2" Type="http://schemas.openxmlformats.org/officeDocument/2006/relationships/hyperlink" Target="https://baza.drom.ru/sell_spare_parts/+/kia%20rio%204%20%D0%94%D0%B2%D0%B8%D0%B3%D0%B0%D1%82%D0%B5%D0%BB%D1%8C%20%D0%B2%20%D1%81%D0%B1%D0%BE%D1%80%D0%B5%20(%D0%BA%D0%BE%D0%BD%D1%82%D1%80%D0%B0%D0%BA%D1%82%D0%BD%D1%8B%D0%B9%20G4LC%201.4)%20%D0%B1%D1%83/" TargetMode="External"/><Relationship Id="rId3" Type="http://schemas.openxmlformats.org/officeDocument/2006/relationships/hyperlink" Target="https://www.avito.ru/all/zapchasti_i_aksessuary?q=kia%20rio%204%20%D0%93%D0%91%D0%A6%20%D0%B2%20%D1%81%D0%B1%D0%BE%D1%80%D0%B5%20(%D0%B3%D0%BE%D0%BB%D0%BE%D0%B2%D0%BA%D0%B0%20%D0%B1%D0%BB%D0%BE%D0%BA%D0%B0)%20%D0%B1%D1%83" TargetMode="External"/><Relationship Id="rId4" Type="http://schemas.openxmlformats.org/officeDocument/2006/relationships/hyperlink" Target="https://baza.drom.ru/sell_spare_parts/+/kia%20rio%204%20%D0%93%D0%91%D0%A6%20%D0%B2%20%D1%81%D0%B1%D0%BE%D1%80%D0%B5%20(%D0%B3%D0%BE%D0%BB%D0%BE%D0%B2%D0%BA%D0%B0%20%D0%B1%D0%BB%D0%BE%D0%BA%D0%B0)%20%D0%B1%D1%83/" TargetMode="External"/><Relationship Id="rId5" Type="http://schemas.openxmlformats.org/officeDocument/2006/relationships/hyperlink" Target="https://www.avito.ru/all/zapchasti_i_aksessuary?q=kia%20rio%204%20%D0%91%D0%BB%D0%BE%D0%BA%20%D1%86%D0%B8%D0%BB%D0%B8%D0%BD%D0%B4%D1%80%D0%BE%D0%B2%20%D0%B1%D1%83" TargetMode="External"/><Relationship Id="rId6" Type="http://schemas.openxmlformats.org/officeDocument/2006/relationships/hyperlink" Target="https://baza.drom.ru/sell_spare_parts/+/kia%20rio%204%20%D0%91%D0%BB%D0%BE%D0%BA%20%D1%86%D0%B8%D0%BB%D0%B8%D0%BD%D0%B4%D1%80%D0%BE%D0%B2%20%D0%B1%D1%83/" TargetMode="External"/><Relationship Id="rId7" Type="http://schemas.openxmlformats.org/officeDocument/2006/relationships/hyperlink" Target="https://www.avito.ru/all/zapchasti_i_aksessuary?q=kia%20rio%204%20%D0%9F%D0%BE%D0%B4%D0%B4%D0%BE%D0%BD%20%D0%B4%D0%B2%D0%B8%D0%B3%D0%B0%D1%82%D0%B5%D0%BB%D1%8F%20%D0%B1%D1%83" TargetMode="External"/><Relationship Id="rId8" Type="http://schemas.openxmlformats.org/officeDocument/2006/relationships/hyperlink" Target="https://baza.drom.ru/sell_spare_parts/+/kia%20rio%204%20%D0%9F%D0%BE%D0%B4%D0%B4%D0%BE%D0%BD%20%D0%B4%D0%B2%D0%B8%D0%B3%D0%B0%D1%82%D0%B5%D0%BB%D1%8F%20%D0%B1%D1%83/" TargetMode="External"/><Relationship Id="rId9" Type="http://schemas.openxmlformats.org/officeDocument/2006/relationships/hyperlink" Target="https://www.avito.ru/all/zapchasti_i_aksessuary?q=kia%20rio%204%20%D0%9A%D0%BB%D0%B0%D0%BF%D0%B0%D0%BD%D0%BD%D0%B0%D1%8F%20%D0%BA%D1%80%D1%8B%D1%88%D0%BA%D0%B0%20%D0%B1%D1%83" TargetMode="External"/><Relationship Id="rId10" Type="http://schemas.openxmlformats.org/officeDocument/2006/relationships/hyperlink" Target="https://baza.drom.ru/sell_spare_parts/+/kia%20rio%204%20%D0%9A%D0%BB%D0%B0%D0%BF%D0%B0%D0%BD%D0%BD%D0%B0%D1%8F%20%D0%BA%D1%80%D1%8B%D1%88%D0%BA%D0%B0%20%D0%B1%D1%83/" TargetMode="External"/><Relationship Id="rId11" Type="http://schemas.openxmlformats.org/officeDocument/2006/relationships/hyperlink" Target="https://www.avito.ru/all/zapchasti_i_aksessuary?q=kia%20rio%204%20%D0%A4%D0%BE%D1%80%D1%81%D1%83%D0%BD%D0%BA%D0%B8%20(1%20%D1%88%D1%82%20%2F%20%D0%BA%D0%BE%D0%BC%D0%BF%D0%BB%D0%B5%D0%BA%D1%82)%20%D0%B1%D1%83" TargetMode="External"/><Relationship Id="rId12" Type="http://schemas.openxmlformats.org/officeDocument/2006/relationships/hyperlink" Target="https://baza.drom.ru/sell_spare_parts/+/kia%20rio%204%20%D0%A4%D0%BE%D1%80%D1%81%D1%83%D0%BD%D0%BA%D0%B8%20(1%20%D1%88%D1%82%20%2F%20%D0%BA%D0%BE%D0%BC%D0%BF%D0%BB%D0%B5%D0%BA%D1%82)%20%D0%B1%D1%83/" TargetMode="External"/><Relationship Id="rId13" Type="http://schemas.openxmlformats.org/officeDocument/2006/relationships/hyperlink" Target="https://www.avito.ru/all/zapchasti_i_aksessuary?q=kia%20rio%204%20%D0%A2%D0%BE%D0%BF%D0%BB%D0%B8%D0%B2%D0%BD%D1%8B%D0%B9%20%D0%BD%D0%B0%D1%81%D0%BE%D1%81%20(%D0%BC%D0%BE%D0%B4%D1%83%D0%BB%D1%8C%20%D0%B2%20%D0%B1%D0%B0%D0%BA%D0%B5)%20%D0%B1%D1%83" TargetMode="External"/><Relationship Id="rId14" Type="http://schemas.openxmlformats.org/officeDocument/2006/relationships/hyperlink" Target="https://baza.drom.ru/sell_spare_parts/+/kia%20rio%204%20%D0%A2%D0%BE%D0%BF%D0%BB%D0%B8%D0%B2%D0%BD%D1%8B%D0%B9%20%D0%BD%D0%B0%D1%81%D0%BE%D1%81%20(%D0%BC%D0%BE%D0%B4%D1%83%D0%BB%D1%8C%20%D0%B2%20%D0%B1%D0%B0%D0%BA%D0%B5)%20%D0%B1%D1%83/" TargetMode="External"/><Relationship Id="rId15" Type="http://schemas.openxmlformats.org/officeDocument/2006/relationships/hyperlink" Target="https://www.avito.ru/all/zapchasti_i_aksessuary?q=kia%20rio%204%20%D0%94%D0%B0%D1%82%D1%87%D0%B8%D0%BA%20%D1%80%D0%B0%D1%81%D1%85%D0%BE%D0%B4%D0%B0%20%D0%B2%D0%BE%D0%B7%D0%B4%D1%83%D1%85%D0%B0%20(MAF)%20%D0%B1%D1%83" TargetMode="External"/><Relationship Id="rId16" Type="http://schemas.openxmlformats.org/officeDocument/2006/relationships/hyperlink" Target="https://baza.drom.ru/sell_spare_parts/+/kia%20rio%204%20%D0%94%D0%B0%D1%82%D1%87%D0%B8%D0%BA%20%D1%80%D0%B0%D1%81%D1%85%D0%BE%D0%B4%D0%B0%20%D0%B2%D0%BE%D0%B7%D0%B4%D1%83%D1%85%D0%B0%20(MAF)%20%D0%B1%D1%83/" TargetMode="External"/><Relationship Id="rId17" Type="http://schemas.openxmlformats.org/officeDocument/2006/relationships/hyperlink" Target="https://www.avito.ru/all/zapchasti_i_aksessuary?q=kia%20rio%204%20%D0%94%D0%B0%D1%82%D1%87%D0%B8%D0%BA%D0%B8%20(%D0%BA%D0%BE%D0%BB%D0%B5%D0%BD%D0%B2%D0%B0%D0%BB%D0%B0%2F%D0%B4%D0%B5%D1%82%D0%BE%D0%BD%D0%B0%D1%86%D0%B8%D0%B8%2F%D1%82%D0%B5%D0%BC%D0%BF.)%20%D0%B1%D1%83" TargetMode="External"/><Relationship Id="rId18" Type="http://schemas.openxmlformats.org/officeDocument/2006/relationships/hyperlink" Target="https://baza.drom.ru/sell_spare_parts/+/kia%20rio%204%20%D0%94%D0%B0%D1%82%D1%87%D0%B8%D0%BA%D0%B8%20(%D0%BA%D0%BE%D0%BB%D0%B5%D0%BD%D0%B2%D0%B0%D0%BB%D0%B0%2F%D0%B4%D0%B5%D1%82%D0%BE%D0%BD%D0%B0%D1%86%D0%B8%D0%B8%2F%D1%82%D0%B5%D0%BC%D0%BF.)%20%D0%B1%D1%83/" TargetMode="External"/><Relationship Id="rId19" Type="http://schemas.openxmlformats.org/officeDocument/2006/relationships/hyperlink" Target="https://www.avito.ru/all/zapchasti_i_aksessuary?q=kia%20rio%204%20%D0%94%D1%80%D0%BE%D1%81%D1%81%D0%B5%D0%BB%D1%8C%D0%BD%D0%B0%D1%8F%20%D0%B7%D0%B0%D1%81%D0%BB%D0%BE%D0%BD%D0%BA%D0%B0%20%D0%B1%D1%83" TargetMode="External"/><Relationship Id="rId20" Type="http://schemas.openxmlformats.org/officeDocument/2006/relationships/hyperlink" Target="https://baza.drom.ru/sell_spare_parts/+/kia%20rio%204%20%D0%94%D1%80%D0%BE%D1%81%D1%81%D0%B5%D0%BB%D1%8C%D0%BD%D0%B0%D1%8F%20%D0%B7%D0%B0%D1%81%D0%BB%D0%BE%D0%BD%D0%BA%D0%B0%20%D0%B1%D1%83/" TargetMode="External"/><Relationship Id="rId21" Type="http://schemas.openxmlformats.org/officeDocument/2006/relationships/hyperlink" Target="https://www.avito.ru/all/zapchasti_i_aksessuary?q=kia%20rio%204%20%D0%92%D0%BF%D1%83%D1%81%D0%BA%D0%BD%D0%BE%D0%B9%20%D0%BA%D0%BE%D0%BB%D0%BB%D0%B5%D0%BA%D1%82%D0%BE%D1%80%20(%D1%80%D0%B5%D1%81%D0%B8%D0%B2%D0%B5%D1%80)%20%D0%B1%D1%83" TargetMode="External"/><Relationship Id="rId22" Type="http://schemas.openxmlformats.org/officeDocument/2006/relationships/hyperlink" Target="https://baza.drom.ru/sell_spare_parts/+/kia%20rio%204%20%D0%92%D0%BF%D1%83%D1%81%D0%BA%D0%BD%D0%BE%D0%B9%20%D0%BA%D0%BE%D0%BB%D0%BB%D0%B5%D0%BA%D1%82%D0%BE%D1%80%20(%D1%80%D0%B5%D1%81%D0%B8%D0%B2%D0%B5%D1%80)%20%D0%B1%D1%83/" TargetMode="External"/><Relationship Id="rId23" Type="http://schemas.openxmlformats.org/officeDocument/2006/relationships/hyperlink" Target="https://www.avito.ru/all/zapchasti_i_aksessuary?q=kia%20rio%204%20%D0%92%D0%BE%D0%B4%D1%8F%D0%BD%D0%BE%D0%B9%20%D0%BD%D0%B0%D1%81%D0%BE%D1%81%20(%D0%BF%D0%BE%D0%BC%D0%BF%D0%B0)%20%D0%B1%D1%83" TargetMode="External"/><Relationship Id="rId24" Type="http://schemas.openxmlformats.org/officeDocument/2006/relationships/hyperlink" Target="https://baza.drom.ru/sell_spare_parts/+/kia%20rio%204%20%D0%92%D0%BE%D0%B4%D1%8F%D0%BD%D0%BE%D0%B9%20%D0%BD%D0%B0%D1%81%D0%BE%D1%81%20(%D0%BF%D0%BE%D0%BC%D0%BF%D0%B0)%20%D0%B1%D1%83/" TargetMode="External"/><Relationship Id="rId25" Type="http://schemas.openxmlformats.org/officeDocument/2006/relationships/hyperlink" Target="https://www.avito.ru/all/zapchasti_i_aksessuary?q=kia%20rio%204%20%D0%A2%D0%B5%D1%80%D0%BC%D0%BE%D1%81%D1%82%D0%B0%D1%82%20%D0%B2%20%D1%81%D0%B1%D0%BE%D1%80%D0%B5%20%D0%B1%D1%83" TargetMode="External"/><Relationship Id="rId26" Type="http://schemas.openxmlformats.org/officeDocument/2006/relationships/hyperlink" Target="https://baza.drom.ru/sell_spare_parts/+/kia%20rio%204%20%D0%A2%D0%B5%D1%80%D0%BC%D0%BE%D1%81%D1%82%D0%B0%D1%82%20%D0%B2%20%D1%81%D0%B1%D0%BE%D1%80%D0%B5%20%D0%B1%D1%83/" TargetMode="External"/><Relationship Id="rId27" Type="http://schemas.openxmlformats.org/officeDocument/2006/relationships/hyperlink" Target="https://www.avito.ru/all/zapchasti_i_aksessuary?q=kia%20rio%204%20%D0%A0%D0%B0%D0%B4%D0%B8%D0%B0%D1%82%D0%BE%D1%80%20%D0%BE%D1%85%D0%BB%D0%B0%D0%B6%D0%B4%D0%B5%D0%BD%D0%B8%D1%8F%20%D0%B1%D1%83" TargetMode="External"/><Relationship Id="rId28" Type="http://schemas.openxmlformats.org/officeDocument/2006/relationships/hyperlink" Target="https://baza.drom.ru/sell_spare_parts/+/kia%20rio%204%20%D0%A0%D0%B0%D0%B4%D0%B8%D0%B0%D1%82%D0%BE%D1%80%20%D0%BE%D1%85%D0%BB%D0%B0%D0%B6%D0%B4%D0%B5%D0%BD%D0%B8%D1%8F%20%D0%B1%D1%83/" TargetMode="External"/><Relationship Id="rId29" Type="http://schemas.openxmlformats.org/officeDocument/2006/relationships/hyperlink" Target="https://www.avito.ru/all/zapchasti_i_aksessuary?q=kia%20rio%204%20%D0%92%D0%B5%D0%BD%D1%82%D0%B8%D0%BB%D1%8F%D1%82%D0%BE%D1%80%20%D0%BE%D1%85%D0%BB%D0%B0%D0%B6%D0%B4%D0%B5%D0%BD%D0%B8%D1%8F%20(%D1%81%20%D0%BA%D0%BE%D0%B6%D1%83%D1%85%D0%BE%D0%BC)%20%D0%B1%D1%83" TargetMode="External"/><Relationship Id="rId30" Type="http://schemas.openxmlformats.org/officeDocument/2006/relationships/hyperlink" Target="https://baza.drom.ru/sell_spare_parts/+/kia%20rio%204%20%D0%92%D0%B5%D0%BD%D1%82%D0%B8%D0%BB%D1%8F%D1%82%D0%BE%D1%80%20%D0%BE%D1%85%D0%BB%D0%B0%D0%B6%D0%B4%D0%B5%D0%BD%D0%B8%D1%8F%20(%D1%81%20%D0%BA%D0%BE%D0%B6%D1%83%D1%85%D0%BE%D0%BC)%20%D0%B1%D1%83/" TargetMode="External"/><Relationship Id="rId31" Type="http://schemas.openxmlformats.org/officeDocument/2006/relationships/hyperlink" Target="https://www.avito.ru/all/zapchasti_i_aksessuary?q=kia%20rio%204%20%D0%9F%D0%B0%D1%82%D1%80%D1%83%D0%B1%D0%BA%D0%B8%2F%D1%88%D0%BB%D0%B0%D0%BD%D0%B3%D0%B8%20%D0%BE%D1%85%D0%BB%D0%B0%D0%B6%D0%B4%D0%B5%D0%BD%D0%B8%D1%8F%20%D0%B1%D1%83" TargetMode="External"/><Relationship Id="rId32" Type="http://schemas.openxmlformats.org/officeDocument/2006/relationships/hyperlink" Target="https://baza.drom.ru/sell_spare_parts/+/kia%20rio%204%20%D0%9F%D0%B0%D1%82%D1%80%D1%83%D0%B1%D0%BA%D0%B8%2F%D1%88%D0%BB%D0%B0%D0%BD%D0%B3%D0%B8%20%D0%BE%D1%85%D0%BB%D0%B0%D0%B6%D0%B4%D0%B5%D0%BD%D0%B8%D1%8F%20%D0%B1%D1%83/" TargetMode="External"/><Relationship Id="rId33" Type="http://schemas.openxmlformats.org/officeDocument/2006/relationships/hyperlink" Target="https://www.avito.ru/all/zapchasti_i_aksessuary?q=kia%20rio%204%20%D0%9A%D0%B0%D1%82%D1%83%D1%88%D0%BA%D0%B0%20%D0%B7%D0%B0%D0%B6%D0%B8%D0%B3%D0%B0%D0%BD%D0%B8%D1%8F%20(1%20%D1%88%D1%82)%20%D0%B1%D1%83" TargetMode="External"/><Relationship Id="rId34" Type="http://schemas.openxmlformats.org/officeDocument/2006/relationships/hyperlink" Target="https://baza.drom.ru/sell_spare_parts/+/kia%20rio%204%20%D0%9A%D0%B0%D1%82%D1%83%D1%88%D0%BA%D0%B0%20%D0%B7%D0%B0%D0%B6%D0%B8%D0%B3%D0%B0%D0%BD%D0%B8%D1%8F%20(1%20%D1%88%D1%82)%20%D0%B1%D1%83/" TargetMode="External"/><Relationship Id="rId35" Type="http://schemas.openxmlformats.org/officeDocument/2006/relationships/hyperlink" Target="https://www.avito.ru/all/zapchasti_i_aksessuary?q=kia%20rio%204%20%D0%A6%D0%B5%D0%BF%D1%8C%20%D0%93%D0%A0%D0%9C%20(%D0%BA%D0%BE%D0%BC%D0%BF%D0%BB%D0%B5%D0%BA%D1%82)%20%D0%B1%D1%83" TargetMode="External"/><Relationship Id="rId36" Type="http://schemas.openxmlformats.org/officeDocument/2006/relationships/hyperlink" Target="https://baza.drom.ru/sell_spare_parts/+/kia%20rio%204%20%D0%A6%D0%B5%D0%BF%D1%8C%20%D0%93%D0%A0%D0%9C%20(%D0%BA%D0%BE%D0%BC%D0%BF%D0%BB%D0%B5%D0%BA%D1%82)%20%D0%B1%D1%83/" TargetMode="External"/><Relationship Id="rId37" Type="http://schemas.openxmlformats.org/officeDocument/2006/relationships/hyperlink" Target="https://www.avito.ru/all/zapchasti_i_aksessuary?q=kia%20rio%204%20%D0%93%D0%B5%D0%BD%D0%B5%D1%80%D0%B0%D1%82%D0%BE%D1%80%20(%D0%B1%D1%83%2F%D0%B2%D0%BE%D1%81%D1%81%D1%82%D0%B0%D0%BD%D0%BE%D0%B2%D0%BB%D0%B5%D0%BD%D0%BD%D1%8B%D0%B9)%20%D0%B1%D1%83" TargetMode="External"/><Relationship Id="rId38" Type="http://schemas.openxmlformats.org/officeDocument/2006/relationships/hyperlink" Target="https://baza.drom.ru/sell_spare_parts/+/kia%20rio%204%20%D0%93%D0%B5%D0%BD%D0%B5%D1%80%D0%B0%D1%82%D0%BE%D1%80%20(%D0%B1%D1%83%2F%D0%B2%D0%BE%D1%81%D1%81%D1%82%D0%B0%D0%BD%D0%BE%D0%B2%D0%BB%D0%B5%D0%BD%D0%BD%D1%8B%D0%B9)%20%D0%B1%D1%83/" TargetMode="External"/><Relationship Id="rId39" Type="http://schemas.openxmlformats.org/officeDocument/2006/relationships/hyperlink" Target="https://www.avito.ru/all/zapchasti_i_aksessuary?q=kia%20rio%204%20%D0%A1%D1%82%D0%B0%D1%80%D1%82%D0%B5%D1%80%20(%D0%B1%D1%83%2F%D0%B2%D0%BE%D1%81%D1%81%D1%82%D0%B0%D0%BD%D0%BE%D0%B2%D0%BB%D0%B5%D0%BD%D0%BD%D1%8B%D0%B9)%20%D0%B1%D1%83" TargetMode="External"/><Relationship Id="rId40" Type="http://schemas.openxmlformats.org/officeDocument/2006/relationships/hyperlink" Target="https://baza.drom.ru/sell_spare_parts/+/kia%20rio%204%20%D0%A1%D1%82%D0%B0%D1%80%D1%82%D0%B5%D1%80%20(%D0%B1%D1%83%2F%D0%B2%D0%BE%D1%81%D1%81%D1%82%D0%B0%D0%BD%D0%BE%D0%B2%D0%BB%D0%B5%D0%BD%D0%BD%D1%8B%D0%B9)%20%D0%B1%D1%83/" TargetMode="External"/><Relationship Id="rId41" Type="http://schemas.openxmlformats.org/officeDocument/2006/relationships/hyperlink" Target="https://www.avito.ru/all/zapchasti_i_aksessuary?q=kia%20rio%204%20%D0%9A%D0%BE%D0%BC%D0%BF%D1%80%D0%B5%D1%81%D1%81%D0%BE%D1%80%20%D0%BA%D0%BE%D0%BD%D0%B4%D0%B8%D1%86%D0%B8%D0%BE%D0%BD%D0%B5%D1%80%D0%B0%20%D0%B1%D1%83" TargetMode="External"/><Relationship Id="rId42" Type="http://schemas.openxmlformats.org/officeDocument/2006/relationships/hyperlink" Target="https://baza.drom.ru/sell_spare_parts/+/kia%20rio%204%20%D0%9A%D0%BE%D0%BC%D0%BF%D1%80%D0%B5%D1%81%D1%81%D0%BE%D1%80%20%D0%BA%D0%BE%D0%BD%D0%B4%D0%B8%D1%86%D0%B8%D0%BE%D0%BD%D0%B5%D1%80%D0%B0%20%D0%B1%D1%83/" TargetMode="External"/><Relationship Id="rId43" Type="http://schemas.openxmlformats.org/officeDocument/2006/relationships/hyperlink" Target="https://www.avito.ru/all/zapchasti_i_aksessuary?q=kia%20rio%204%20%D0%9A%D0%B0%D1%82%D0%B0%D0%BB%D0%B8%D0%B7%D0%B0%D1%82%D0%BE%D1%80%20(%D1%81%D0%BD%D1%8F%D1%82%D1%8B%D0%B9%20%D0%BD%D0%B5%D0%B1%D0%B8%D1%82%D1%8B%D0%B9)%20%D0%B1%D1%83" TargetMode="External"/><Relationship Id="rId44" Type="http://schemas.openxmlformats.org/officeDocument/2006/relationships/hyperlink" Target="https://baza.drom.ru/sell_spare_parts/+/kia%20rio%204%20%D0%9A%D0%B0%D1%82%D0%B0%D0%BB%D0%B8%D0%B7%D0%B0%D1%82%D0%BE%D1%80%20(%D1%81%D0%BD%D1%8F%D1%82%D1%8B%D0%B9%20%D0%BD%D0%B5%D0%B1%D0%B8%D1%82%D1%8B%D0%B9)%20%D0%B1%D1%83/" TargetMode="External"/><Relationship Id="rId45" Type="http://schemas.openxmlformats.org/officeDocument/2006/relationships/hyperlink" Target="https://www.avito.ru/all/zapchasti_i_aksessuary?q=kia%20rio%204%20%D0%92%D1%8B%D0%BF%D1%83%D1%81%D0%BA%D0%BD%D0%BE%D0%B9%20%D0%BA%D0%BE%D0%BB%D0%BB%D0%B5%D0%BA%D1%82%D0%BE%D1%80%20(%D1%81%20%D0%BA%D0%B0%D1%82%D0%B0%D0%BB%D0%B8%D0%B7%D0%B0%D1%82%D0%BE%D1%80%D0%BE%D0%BC)%20%D0%B1%D1%83" TargetMode="External"/><Relationship Id="rId46" Type="http://schemas.openxmlformats.org/officeDocument/2006/relationships/hyperlink" Target="https://baza.drom.ru/sell_spare_parts/+/kia%20rio%204%20%D0%92%D1%8B%D0%BF%D1%83%D1%81%D0%BA%D0%BD%D0%BE%D0%B9%20%D0%BA%D0%BE%D0%BB%D0%BB%D0%B5%D0%BA%D1%82%D0%BE%D1%80%20(%D1%81%20%D0%BA%D0%B0%D1%82%D0%B0%D0%BB%D0%B8%D0%B7%D0%B0%D1%82%D0%BE%D1%80%D0%BE%D0%BC)%20%D0%B1%D1%83/" TargetMode="External"/><Relationship Id="rId47" Type="http://schemas.openxmlformats.org/officeDocument/2006/relationships/hyperlink" Target="https://www.avito.ru/all/zapchasti_i_aksessuary?q=kia%20rio%204%20%D0%A0%D0%B5%D0%B7%D0%BE%D0%BD%D0%B0%D1%82%D0%BE%D1%80%20%2F%20%D0%B3%D0%BB%D1%83%D1%88%D0%B8%D1%82%D0%B5%D0%BB%D1%8C%20%D0%B2%20%D1%81%D0%B1%D0%BE%D1%80%D0%B5%20%D0%B1%D1%83" TargetMode="External"/><Relationship Id="rId48" Type="http://schemas.openxmlformats.org/officeDocument/2006/relationships/hyperlink" Target="https://baza.drom.ru/sell_spare_parts/+/kia%20rio%204%20%D0%A0%D0%B5%D0%B7%D0%BE%D0%BD%D0%B0%D1%82%D0%BE%D1%80%20%2F%20%D0%B3%D0%BB%D1%83%D1%88%D0%B8%D1%82%D0%B5%D0%BB%D1%8C%20%D0%B2%20%D1%81%D0%B1%D0%BE%D1%80%D0%B5%20%D0%B1%D1%83/" TargetMode="External"/><Relationship Id="rId49" Type="http://schemas.openxmlformats.org/officeDocument/2006/relationships/hyperlink" Target="https://www.avito.ru/all/zapchasti_i_aksessuary?q=kia%20rio%204%20%D0%9C%D0%B0%D1%81%D0%BB%D1%8F%D0%BD%D1%8B%D0%B9%20%D0%BD%D0%B0%D1%81%D0%BE%D1%81%20%D0%B1%D1%83" TargetMode="External"/><Relationship Id="rId50" Type="http://schemas.openxmlformats.org/officeDocument/2006/relationships/hyperlink" Target="https://baza.drom.ru/sell_spare_parts/+/kia%20rio%204%20%D0%9C%D0%B0%D1%81%D0%BB%D1%8F%D0%BD%D1%8B%D0%B9%20%D0%BD%D0%B0%D1%81%D0%BE%D1%81%20%D0%B1%D1%83/" TargetMode="External"/><Relationship Id="rId51" Type="http://schemas.openxmlformats.org/officeDocument/2006/relationships/hyperlink" Target="https://www.avito.ru/all/zapchasti_i_aksessuary?q=kia%20rio%204%20%D0%A0%D0%B0%D0%B4%D0%B8%D0%B0%D1%82%D0%BE%D1%80%20%D0%BE%D1%82%D0%BE%D0%BF%D0%B8%D1%82%D0%B5%D0%BB%D1%8F%20(%D0%BF%D0%B5%D1%87%D0%BA%D0%B8)%20%D0%B1%D1%83" TargetMode="External"/><Relationship Id="rId52" Type="http://schemas.openxmlformats.org/officeDocument/2006/relationships/hyperlink" Target="https://baza.drom.ru/sell_spare_parts/+/kia%20rio%204%20%D0%A0%D0%B0%D0%B4%D0%B8%D0%B0%D1%82%D0%BE%D1%80%20%D0%BE%D1%82%D0%BE%D0%BF%D0%B8%D1%82%D0%B5%D0%BB%D1%8F%20(%D0%BF%D0%B5%D1%87%D0%BA%D0%B8)%20%D0%B1%D1%83/" TargetMode="External"/><Relationship Id="rId53" Type="http://schemas.openxmlformats.org/officeDocument/2006/relationships/hyperlink" Target="https://www.avito.ru/all/zapchasti_i_aksessuary?q=kia%20rio%204%20%D0%9C%D0%BE%D1%82%D0%BE%D1%80%D1%87%D0%B8%D0%BA%20%D0%BE%D1%82%D0%BE%D0%BF%D0%B8%D1%82%D0%B5%D0%BB%D1%8F%20(%D0%BF%D0%B5%D1%87%D0%BA%D0%B8)%20%D0%B1%D1%83" TargetMode="External"/><Relationship Id="rId54" Type="http://schemas.openxmlformats.org/officeDocument/2006/relationships/hyperlink" Target="https://baza.drom.ru/sell_spare_parts/+/kia%20rio%204%20%D0%9C%D0%BE%D1%82%D0%BE%D1%80%D1%87%D0%B8%D0%BA%20%D0%BE%D1%82%D0%BE%D0%BF%D0%B8%D1%82%D0%B5%D0%BB%D1%8F%20(%D0%BF%D0%B5%D1%87%D0%BA%D0%B8)%20%D0%B1%D1%83/" TargetMode="External"/><Relationship Id="rId55" Type="http://schemas.openxmlformats.org/officeDocument/2006/relationships/hyperlink" Target="https://www.avito.ru/all/zapchasti_i_aksessuary?q=kia%20rio%204%20%D0%92%D1%8B%D0%BF%D1%83%D1%81%D0%BA%D0%BD%D0%BE%D0%B9%20%D0%BA%D0%BE%D0%BB%D0%BB%D0%B5%D0%BA%D1%82%D0%BE%D1%80%20%D0%B1%D1%83" TargetMode="External"/><Relationship Id="rId56" Type="http://schemas.openxmlformats.org/officeDocument/2006/relationships/hyperlink" Target="https://baza.drom.ru/sell_spare_parts/+/kia%20rio%204%20%D0%92%D1%8B%D0%BF%D1%83%D1%81%D0%BA%D0%BD%D0%BE%D0%B9%20%D0%BA%D0%BE%D0%BB%D0%BB%D0%B5%D0%BA%D1%82%D0%BE%D1%80%20%D0%B1%D1%83/" TargetMode="External"/><Relationship Id="rId57" Type="http://schemas.openxmlformats.org/officeDocument/2006/relationships/hyperlink" Target="https://www.avito.ru/all/zapchasti_i_aksessuary?q=kia%20rio%204%20%D0%90%D0%9A%D0%9F%D0%9F%206-%D1%81%D1%82%20(A6GF1%2C%20%D0%BA%D0%BE%D0%BD%D1%82%D1%80%D0%B0%D0%BA%D1%82)%20%D0%B1%D1%83" TargetMode="External"/><Relationship Id="rId58" Type="http://schemas.openxmlformats.org/officeDocument/2006/relationships/hyperlink" Target="https://baza.drom.ru/sell_spare_parts/+/kia%20rio%204%20%D0%90%D0%9A%D0%9F%D0%9F%206-%D1%81%D1%82%20(A6GF1%2C%20%D0%BA%D0%BE%D0%BD%D1%82%D1%80%D0%B0%D0%BA%D1%82)%20%D0%B1%D1%83/" TargetMode="External"/><Relationship Id="rId59" Type="http://schemas.openxmlformats.org/officeDocument/2006/relationships/hyperlink" Target="https://www.avito.ru/all/zapchasti_i_aksessuary?q=kia%20rio%204%20%D0%9C%D0%9A%D0%9F%D0%9F%206-%D1%81%D1%82%20(%D0%B1%2F%D1%83)%20%D0%B1%D1%83" TargetMode="External"/><Relationship Id="rId60" Type="http://schemas.openxmlformats.org/officeDocument/2006/relationships/hyperlink" Target="https://baza.drom.ru/sell_spare_parts/+/kia%20rio%204%20%D0%9C%D0%9A%D0%9F%D0%9F%206-%D1%81%D1%82%20(%D0%B1%2F%D1%83)%20%D0%B1%D1%83/" TargetMode="External"/><Relationship Id="rId61" Type="http://schemas.openxmlformats.org/officeDocument/2006/relationships/hyperlink" Target="https://www.avito.ru/all/zapchasti_i_aksessuary?q=kia%20rio%204%20%D0%A1%D1%86%D0%B5%D0%BF%D0%BB%D0%B5%D0%BD%D0%B8%D0%B5%20(%D0%BA%D0%BE%D0%BC%D0%BF%D0%BB%D0%B5%D0%BA%D1%82%2C%20%D0%B1%2F%D1%83)%20%D0%B1%D1%83" TargetMode="External"/><Relationship Id="rId62" Type="http://schemas.openxmlformats.org/officeDocument/2006/relationships/hyperlink" Target="https://baza.drom.ru/sell_spare_parts/+/kia%20rio%204%20%D0%A1%D1%86%D0%B5%D0%BF%D0%BB%D0%B5%D0%BD%D0%B8%D0%B5%20(%D0%BA%D0%BE%D0%BC%D0%BF%D0%BB%D0%B5%D0%BA%D1%82%2C%20%D0%B1%2F%D1%83)%20%D0%B1%D1%83/" TargetMode="External"/><Relationship Id="rId63" Type="http://schemas.openxmlformats.org/officeDocument/2006/relationships/hyperlink" Target="https://www.avito.ru/all/zapchasti_i_aksessuary?q=kia%20rio%204%20%D0%9F%D0%BE%D0%BB%D1%83%D0%BE%D1%81%D0%B8%20(%D0%BF%D1%80%D0%B8%D0%B2%D0%BE%D0%B4%D1%8B)%20%D0%B1%D1%83" TargetMode="External"/><Relationship Id="rId64" Type="http://schemas.openxmlformats.org/officeDocument/2006/relationships/hyperlink" Target="https://baza.drom.ru/sell_spare_parts/+/kia%20rio%204%20%D0%9F%D0%BE%D0%BB%D1%83%D0%BE%D1%81%D0%B8%20(%D0%BF%D1%80%D0%B8%D0%B2%D0%BE%D0%B4%D1%8B)%20%D0%B1%D1%83/" TargetMode="External"/><Relationship Id="rId65" Type="http://schemas.openxmlformats.org/officeDocument/2006/relationships/hyperlink" Target="https://www.avito.ru/all/zapchasti_i_aksessuary?q=kia%20rio%204%20%D0%A8%D0%A0%D0%A3%D0%A1%20%D0%B1%D1%83" TargetMode="External"/><Relationship Id="rId66" Type="http://schemas.openxmlformats.org/officeDocument/2006/relationships/hyperlink" Target="https://baza.drom.ru/sell_spare_parts/+/kia%20rio%204%20%D0%A8%D0%A0%D0%A3%D0%A1%20%D0%B1%D1%83/" TargetMode="External"/><Relationship Id="rId67" Type="http://schemas.openxmlformats.org/officeDocument/2006/relationships/hyperlink" Target="https://www.avito.ru/all/zapchasti_i_aksessuary?q=kia%20rio%204%20%D0%A0%D0%B5%D0%B4%D1%83%D0%BA%D1%82%D0%BE%D1%80%20%D0%B7%D0%B0%D0%B4%D0%BD%D0%B5%D0%B3%D0%BE%20%D0%BC%D0%BE%D1%81%D1%82%D0%B0%20%D0%B1%D1%83" TargetMode="External"/><Relationship Id="rId68" Type="http://schemas.openxmlformats.org/officeDocument/2006/relationships/hyperlink" Target="https://baza.drom.ru/sell_spare_parts/+/kia%20rio%204%20%D0%A0%D0%B5%D0%B4%D1%83%D0%BA%D1%82%D0%BE%D1%80%20%D0%B7%D0%B0%D0%B4%D0%BD%D0%B5%D0%B3%D0%BE%20%D0%BC%D0%BE%D1%81%D1%82%D0%B0%20%D0%B1%D1%83/" TargetMode="External"/><Relationship Id="rId69" Type="http://schemas.openxmlformats.org/officeDocument/2006/relationships/hyperlink" Target="https://www.avito.ru/all/zapchasti_i_aksessuary?q=kia%20rio%204%20%D0%A0%D1%8B%D1%87%D0%B0%D0%B3%20%D0%BF%D0%B5%D1%80%D0%B5%D0%B4%D0%BD%D0%B8%D0%B9%20%D0%BD%D0%B8%D0%B6%D0%BD%D0%B8%D0%B9%20%D0%B1%D1%83" TargetMode="External"/><Relationship Id="rId70" Type="http://schemas.openxmlformats.org/officeDocument/2006/relationships/hyperlink" Target="https://baza.drom.ru/sell_spare_parts/+/kia%20rio%204%20%D0%A0%D1%8B%D1%87%D0%B0%D0%B3%20%D0%BF%D0%B5%D1%80%D0%B5%D0%B4%D0%BD%D0%B8%D0%B9%20%D0%BD%D0%B8%D0%B6%D0%BD%D0%B8%D0%B9%20%D0%B1%D1%83/" TargetMode="External"/><Relationship Id="rId71" Type="http://schemas.openxmlformats.org/officeDocument/2006/relationships/hyperlink" Target="https://www.avito.ru/all/zapchasti_i_aksessuary?q=kia%20rio%204%20%D0%A1%D0%B0%D0%B9%D0%BB%D0%B5%D0%BD%D1%82%D0%B1%D0%BB%D0%BE%D0%BA%D0%B8%20%2F%20%D1%88%D0%B0%D1%80%D0%BE%D0%B2%D1%8B%D0%B5%20%D0%B1%D1%83" TargetMode="External"/><Relationship Id="rId72" Type="http://schemas.openxmlformats.org/officeDocument/2006/relationships/hyperlink" Target="https://baza.drom.ru/sell_spare_parts/+/kia%20rio%204%20%D0%A1%D0%B0%D0%B9%D0%BB%D0%B5%D0%BD%D1%82%D0%B1%D0%BB%D0%BE%D0%BA%D0%B8%20%2F%20%D1%88%D0%B0%D1%80%D0%BE%D0%B2%D1%8B%D0%B5%20%D0%B1%D1%83/" TargetMode="External"/><Relationship Id="rId73" Type="http://schemas.openxmlformats.org/officeDocument/2006/relationships/hyperlink" Target="https://www.avito.ru/all/zapchasti_i_aksessuary?q=kia%20rio%204%20%D0%90%D0%BC%D0%BE%D1%80%D1%82%D0%B8%D0%B7%D0%B0%D1%82%D0%BE%D1%80%20%D0%BF%D0%B5%D1%80%D0%B5%D0%B4%D0%BD%D0%B8%D0%B9%20%D0%B1%D1%83" TargetMode="External"/><Relationship Id="rId74" Type="http://schemas.openxmlformats.org/officeDocument/2006/relationships/hyperlink" Target="https://baza.drom.ru/sell_spare_parts/+/kia%20rio%204%20%D0%90%D0%BC%D0%BE%D1%80%D1%82%D0%B8%D0%B7%D0%B0%D1%82%D0%BE%D1%80%20%D0%BF%D0%B5%D1%80%D0%B5%D0%B4%D0%BD%D0%B8%D0%B9%20%D0%B1%D1%83/" TargetMode="External"/><Relationship Id="rId75" Type="http://schemas.openxmlformats.org/officeDocument/2006/relationships/hyperlink" Target="https://www.avito.ru/all/zapchasti_i_aksessuary?q=kia%20rio%204%20%D0%90%D0%BC%D0%BE%D1%80%D1%82%D0%B8%D0%B7%D0%B0%D1%82%D0%BE%D1%80%20%D0%B7%D0%B0%D0%B4%D0%BD%D0%B8%D0%B9%20%D0%B1%D1%83" TargetMode="External"/><Relationship Id="rId76" Type="http://schemas.openxmlformats.org/officeDocument/2006/relationships/hyperlink" Target="https://baza.drom.ru/sell_spare_parts/+/kia%20rio%204%20%D0%90%D0%BC%D0%BE%D1%80%D1%82%D0%B8%D0%B7%D0%B0%D1%82%D0%BE%D1%80%20%D0%B7%D0%B0%D0%B4%D0%BD%D0%B8%D0%B9%20%D0%B1%D1%83/" TargetMode="External"/><Relationship Id="rId77" Type="http://schemas.openxmlformats.org/officeDocument/2006/relationships/hyperlink" Target="https://www.avito.ru/all/zapchasti_i_aksessuary?q=kia%20rio%204%20%D0%9F%D1%80%D1%83%D0%B6%D0%B8%D0%BD%D1%8B%20%D0%BF%D0%B5%D1%80%D0%B5%D0%B4%D0%BD%D0%B8%D0%B5%20%2F%20%D0%B7%D0%B0%D0%B4%D0%BD%D0%B8%D0%B5%20%D0%B1%D1%83" TargetMode="External"/><Relationship Id="rId78" Type="http://schemas.openxmlformats.org/officeDocument/2006/relationships/hyperlink" Target="https://baza.drom.ru/sell_spare_parts/+/kia%20rio%204%20%D0%9F%D1%80%D1%83%D0%B6%D0%B8%D0%BD%D1%8B%20%D0%BF%D0%B5%D1%80%D0%B5%D0%B4%D0%BD%D0%B8%D0%B5%20%2F%20%D0%B7%D0%B0%D0%B4%D0%BD%D0%B8%D0%B5%20%D0%B1%D1%83/" TargetMode="External"/><Relationship Id="rId79" Type="http://schemas.openxmlformats.org/officeDocument/2006/relationships/hyperlink" Target="https://www.avito.ru/all/zapchasti_i_aksessuary?q=kia%20rio%204%20%D0%A1%D1%82%D0%BE%D0%B9%D0%BA%D0%B8%20%D1%81%D1%82%D0%B0%D0%B1%D0%B8%D0%BB%D0%B8%D0%B7%D0%B0%D1%82%D0%BE%D1%80%D0%B0%20%D0%B1%D1%83" TargetMode="External"/><Relationship Id="rId80" Type="http://schemas.openxmlformats.org/officeDocument/2006/relationships/hyperlink" Target="https://baza.drom.ru/sell_spare_parts/+/kia%20rio%204%20%D0%A1%D1%82%D0%BE%D0%B9%D0%BA%D0%B8%20%D1%81%D1%82%D0%B0%D0%B1%D0%B8%D0%BB%D0%B8%D0%B7%D0%B0%D1%82%D0%BE%D1%80%D0%B0%20%D0%B1%D1%83/" TargetMode="External"/><Relationship Id="rId81" Type="http://schemas.openxmlformats.org/officeDocument/2006/relationships/hyperlink" Target="https://www.avito.ru/all/zapchasti_i_aksessuary?q=kia%20rio%204%20%D0%9F%D0%BE%D0%B4%D1%88%D0%B8%D0%BF%D0%BD%D0%B8%D0%BA%20%D1%81%D1%82%D1%83%D0%BF%D0%B8%D1%86%D1%8B%20%D0%B1%D1%83" TargetMode="External"/><Relationship Id="rId82" Type="http://schemas.openxmlformats.org/officeDocument/2006/relationships/hyperlink" Target="https://baza.drom.ru/sell_spare_parts/+/kia%20rio%204%20%D0%9F%D0%BE%D0%B4%D1%88%D0%B8%D0%BF%D0%BD%D0%B8%D0%BA%20%D1%81%D1%82%D1%83%D0%BF%D0%B8%D1%86%D1%8B%20%D0%B1%D1%83/" TargetMode="External"/><Relationship Id="rId83" Type="http://schemas.openxmlformats.org/officeDocument/2006/relationships/hyperlink" Target="https://www.avito.ru/all/zapchasti_i_aksessuary?q=kia%20rio%204%20%D0%A0%D1%83%D0%BB%D0%B5%D0%B2%D0%B0%D1%8F%20%D1%80%D0%B5%D0%B9%D0%BA%D0%B0%20(%D0%B2%D0%BE%D1%81%D1%81%D1%82.)%20%D0%B1%D1%83" TargetMode="External"/><Relationship Id="rId84" Type="http://schemas.openxmlformats.org/officeDocument/2006/relationships/hyperlink" Target="https://baza.drom.ru/sell_spare_parts/+/kia%20rio%204%20%D0%A0%D1%83%D0%BB%D0%B5%D0%B2%D0%B0%D1%8F%20%D1%80%D0%B5%D0%B9%D0%BA%D0%B0%20(%D0%B2%D0%BE%D1%81%D1%81%D1%82.)%20%D0%B1%D1%83/" TargetMode="External"/><Relationship Id="rId85" Type="http://schemas.openxmlformats.org/officeDocument/2006/relationships/hyperlink" Target="https://www.avito.ru/all/zapchasti_i_aksessuary?q=kia%20rio%204%20%D0%AD%D0%BB%D0%B5%D0%BA%D1%82%D1%80%D0%BE%D1%83%D1%81%D0%B8%D0%BB%D0%B8%D1%82%D0%B5%D0%BB%D1%8C%20%D0%AD%D0%A3%D0%A0%20(%D0%BA%D0%BE%D0%BB%D0%BE%D0%BD%D0%BA%D0%B0)%20%D0%B1%D1%83" TargetMode="External"/><Relationship Id="rId86" Type="http://schemas.openxmlformats.org/officeDocument/2006/relationships/hyperlink" Target="https://baza.drom.ru/sell_spare_parts/+/kia%20rio%204%20%D0%AD%D0%BB%D0%B5%D0%BA%D1%82%D1%80%D0%BE%D1%83%D1%81%D0%B8%D0%BB%D0%B8%D1%82%D0%B5%D0%BB%D1%8C%20%D0%AD%D0%A3%D0%A0%20(%D0%BA%D0%BE%D0%BB%D0%BE%D0%BD%D0%BA%D0%B0)%20%D0%B1%D1%83/" TargetMode="External"/><Relationship Id="rId87" Type="http://schemas.openxmlformats.org/officeDocument/2006/relationships/hyperlink" Target="https://www.avito.ru/all/zapchasti_i_aksessuary?q=kia%20rio%204%20%D0%A0%D1%83%D0%BB%D0%B5%D0%B2%D1%8B%D0%B5%20%D1%82%D1%8F%D0%B3%D0%B8%20%D0%B8%20%D0%BD%D0%B0%D0%BA%D0%BE%D0%BD%D0%B5%D1%87%D0%BD%D0%B8%D0%BA%D0%B8%20%D0%B1%D1%83" TargetMode="External"/><Relationship Id="rId88" Type="http://schemas.openxmlformats.org/officeDocument/2006/relationships/hyperlink" Target="https://baza.drom.ru/sell_spare_parts/+/kia%20rio%204%20%D0%A0%D1%83%D0%BB%D0%B5%D0%B2%D1%8B%D0%B5%20%D1%82%D1%8F%D0%B3%D0%B8%20%D0%B8%20%D0%BD%D0%B0%D0%BA%D0%BE%D0%BD%D0%B5%D1%87%D0%BD%D0%B8%D0%BA%D0%B8%20%D0%B1%D1%83/" TargetMode="External"/><Relationship Id="rId89" Type="http://schemas.openxmlformats.org/officeDocument/2006/relationships/hyperlink" Target="https://www.avito.ru/all/zapchasti_i_aksessuary?q=kia%20rio%204%20%D0%9F%D0%B5%D1%80%D0%B5%D0%B4%D0%BD%D0%B8%D0%B9%20%D0%BF%D0%BE%D0%B4%D1%80%D0%B0%D0%BC%D0%BD%D0%B8%D0%BA%20%D0%B1%D1%83" TargetMode="External"/><Relationship Id="rId90" Type="http://schemas.openxmlformats.org/officeDocument/2006/relationships/hyperlink" Target="https://baza.drom.ru/sell_spare_parts/+/kia%20rio%204%20%D0%9F%D0%B5%D1%80%D0%B5%D0%B4%D0%BD%D0%B8%D0%B9%20%D0%BF%D0%BE%D0%B4%D1%80%D0%B0%D0%BC%D0%BD%D0%B8%D0%BA%20%D0%B1%D1%83/" TargetMode="External"/><Relationship Id="rId91" Type="http://schemas.openxmlformats.org/officeDocument/2006/relationships/hyperlink" Target="https://www.avito.ru/all/zapchasti_i_aksessuary?q=kia%20rio%204%20%D0%91%D0%B0%D0%BB%D0%BA%D0%B0%20%D0%B7%D0%B0%D0%B4%D0%BD%D0%B5%D0%B9%20%D0%BF%D0%BE%D0%B4%D0%B2%D0%B5%D1%81%D0%BA%D0%B8%20%D0%B1%D1%83" TargetMode="External"/><Relationship Id="rId92" Type="http://schemas.openxmlformats.org/officeDocument/2006/relationships/hyperlink" Target="https://baza.drom.ru/sell_spare_parts/+/kia%20rio%204%20%D0%91%D0%B0%D0%BB%D0%BA%D0%B0%20%D0%B7%D0%B0%D0%B4%D0%BD%D0%B5%D0%B9%20%D0%BF%D0%BE%D0%B4%D0%B2%D0%B5%D1%81%D0%BA%D0%B8%20%D0%B1%D1%83/" TargetMode="External"/><Relationship Id="rId93" Type="http://schemas.openxmlformats.org/officeDocument/2006/relationships/hyperlink" Target="https://www.avito.ru/all/zapchasti_i_aksessuary?q=kia%20rio%204%20%D0%A1%D1%83%D0%BF%D0%BF%D0%BE%D1%80%D1%82%20%D0%BF%D0%B5%D1%80%D0%B5%D0%B4%D0%BD%D0%B8%D0%B9%20(%D0%B1%2F%D1%83)%20%D0%B1%D1%83" TargetMode="External"/><Relationship Id="rId94" Type="http://schemas.openxmlformats.org/officeDocument/2006/relationships/hyperlink" Target="https://baza.drom.ru/sell_spare_parts/+/kia%20rio%204%20%D0%A1%D1%83%D0%BF%D0%BF%D0%BE%D1%80%D1%82%20%D0%BF%D0%B5%D1%80%D0%B5%D0%B4%D0%BD%D0%B8%D0%B9%20(%D0%B1%2F%D1%83)%20%D0%B1%D1%83/" TargetMode="External"/><Relationship Id="rId95" Type="http://schemas.openxmlformats.org/officeDocument/2006/relationships/hyperlink" Target="https://www.avito.ru/all/zapchasti_i_aksessuary?q=kia%20rio%204%20%D0%A1%D1%83%D0%BF%D0%BF%D0%BE%D1%80%D1%82%20%D0%B7%D0%B0%D0%B4%D0%BD%D0%B8%D0%B9%20(%D0%B1%2F%D1%83)%20%D0%B1%D1%83" TargetMode="External"/><Relationship Id="rId96" Type="http://schemas.openxmlformats.org/officeDocument/2006/relationships/hyperlink" Target="https://baza.drom.ru/sell_spare_parts/+/kia%20rio%204%20%D0%A1%D1%83%D0%BF%D0%BF%D0%BE%D1%80%D1%82%20%D0%B7%D0%B0%D0%B4%D0%BD%D0%B8%D0%B9%20(%D0%B1%2F%D1%83)%20%D0%B1%D1%83/" TargetMode="External"/><Relationship Id="rId97" Type="http://schemas.openxmlformats.org/officeDocument/2006/relationships/hyperlink" Target="https://www.avito.ru/all/zapchasti_i_aksessuary?q=kia%20rio%204%20%D0%A2%D0%BE%D1%80%D0%BC%D0%BE%D0%B7%D0%BD%D1%8B%D0%B5%20%D0%B4%D0%B8%D1%81%D0%BA%D0%B8%20(%D0%B1%2F%D1%83)%20%D0%B1%D1%83" TargetMode="External"/><Relationship Id="rId98" Type="http://schemas.openxmlformats.org/officeDocument/2006/relationships/hyperlink" Target="https://baza.drom.ru/sell_spare_parts/+/kia%20rio%204%20%D0%A2%D0%BE%D1%80%D0%BC%D0%BE%D0%B7%D0%BD%D1%8B%D0%B5%20%D0%B4%D0%B8%D1%81%D0%BA%D0%B8%20(%D0%B1%2F%D1%83)%20%D0%B1%D1%83/" TargetMode="External"/><Relationship Id="rId99" Type="http://schemas.openxmlformats.org/officeDocument/2006/relationships/hyperlink" Target="https://www.avito.ru/all/zapchasti_i_aksessuary?q=kia%20rio%204%20%D0%92%D0%B0%D0%BA%D1%83%D1%83%D0%BC%D0%BD%D1%8B%D0%B9%20%D1%83%D1%81%D0%B8%D0%BB%D0%B8%D1%82%D0%B5%D0%BB%D1%8C%20%2F%20%D0%93%D0%A2%D0%A6%20%D0%B1%D1%83" TargetMode="External"/><Relationship Id="rId100" Type="http://schemas.openxmlformats.org/officeDocument/2006/relationships/hyperlink" Target="https://baza.drom.ru/sell_spare_parts/+/kia%20rio%204%20%D0%92%D0%B0%D0%BA%D1%83%D1%83%D0%BC%D0%BD%D1%8B%D0%B9%20%D1%83%D1%81%D0%B8%D0%BB%D0%B8%D1%82%D0%B5%D0%BB%D1%8C%20%2F%20%D0%93%D0%A2%D0%A6%20%D0%B1%D1%83/" TargetMode="External"/><Relationship Id="rId101" Type="http://schemas.openxmlformats.org/officeDocument/2006/relationships/hyperlink" Target="https://www.avito.ru/all/zapchasti_i_aksessuary?q=kia%20rio%204%20%D0%91%D0%BB%D0%BE%D0%BA%20ABS%20%D0%B1%D1%83" TargetMode="External"/><Relationship Id="rId102" Type="http://schemas.openxmlformats.org/officeDocument/2006/relationships/hyperlink" Target="https://baza.drom.ru/sell_spare_parts/+/kia%20rio%204%20%D0%91%D0%BB%D0%BE%D0%BA%20ABS%20%D0%B1%D1%83/" TargetMode="External"/><Relationship Id="rId103" Type="http://schemas.openxmlformats.org/officeDocument/2006/relationships/hyperlink" Target="https://www.avito.ru/all/zapchasti_i_aksessuary?q=kia%20rio%204%20%D0%9F%D0%BE%D0%B4%D1%83%D1%88%D0%BA%D0%B0%20%D0%B4%D0%B5%D0%BB%D0%B8%D1%82%D0%B5%D0%BB%D1%8F%20%2F%20%D1%88%D0%BB%D0%B0%D0%BD%D0%B3%D0%B8%20%D1%82%D0%BE%D1%80%D0%BC%D0%BE%D0%B7%D0%BD%D1%8B%D0%B5%20%D0%B1%D1%83" TargetMode="External"/><Relationship Id="rId104" Type="http://schemas.openxmlformats.org/officeDocument/2006/relationships/hyperlink" Target="https://baza.drom.ru/sell_spare_parts/+/kia%20rio%204%20%D0%9F%D0%BE%D0%B4%D1%83%D1%88%D0%BA%D0%B0%20%D0%B4%D0%B5%D0%BB%D0%B8%D1%82%D0%B5%D0%BB%D1%8F%20%2F%20%D1%88%D0%BB%D0%B0%D0%BD%D0%B3%D0%B8%20%D1%82%D0%BE%D1%80%D0%BC%D0%BE%D0%B7%D0%BD%D1%8B%D0%B5%20%D0%B1%D1%83/" TargetMode="External"/><Relationship Id="rId105" Type="http://schemas.openxmlformats.org/officeDocument/2006/relationships/hyperlink" Target="https://www.avito.ru/all/zapchasti_i_aksessuary?q=kia%20rio%204%20%D0%A4%D0%B0%D1%80%D0%B0%20%D0%BF%D0%B5%D1%80%D0%B5%D0%B4%D0%BD%D1%8F%D1%8F%20(%D0%B1%2F%D1%83)%20%D0%B1%D1%83" TargetMode="External"/><Relationship Id="rId106" Type="http://schemas.openxmlformats.org/officeDocument/2006/relationships/hyperlink" Target="https://baza.drom.ru/sell_spare_parts/+/kia%20rio%204%20%D0%A4%D0%B0%D1%80%D0%B0%20%D0%BF%D0%B5%D1%80%D0%B5%D0%B4%D0%BD%D1%8F%D1%8F%20(%D0%B1%2F%D1%83)%20%D0%B1%D1%83/" TargetMode="External"/><Relationship Id="rId107" Type="http://schemas.openxmlformats.org/officeDocument/2006/relationships/hyperlink" Target="https://www.avito.ru/all/zapchasti_i_aksessuary?q=kia%20rio%204%20%D0%97%D0%B0%D0%B4%D0%BD%D0%B8%D0%B9%20%D1%84%D0%BE%D0%BD%D0%B0%D1%80%D1%8C%20(%D0%B1%2F%D1%83%2C%20%D0%B7%D0%B0%20%D1%88%D1%82)%20%D0%B1%D1%83" TargetMode="External"/><Relationship Id="rId108" Type="http://schemas.openxmlformats.org/officeDocument/2006/relationships/hyperlink" Target="https://baza.drom.ru/sell_spare_parts/+/kia%20rio%204%20%D0%97%D0%B0%D0%B4%D0%BD%D0%B8%D0%B9%20%D1%84%D0%BE%D0%BD%D0%B0%D1%80%D1%8C%20(%D0%B1%2F%D1%83%2C%20%D0%B7%D0%B0%20%D1%88%D1%82)%20%D0%B1%D1%83/" TargetMode="External"/><Relationship Id="rId109" Type="http://schemas.openxmlformats.org/officeDocument/2006/relationships/hyperlink" Target="https://www.avito.ru/all/zapchasti_i_aksessuary?q=kia%20rio%204%20%D0%9A%D0%B0%D0%BF%D0%BE%D1%82%20(%D0%B1%2F%D1%83)%20%D0%B1%D1%83" TargetMode="External"/><Relationship Id="rId110" Type="http://schemas.openxmlformats.org/officeDocument/2006/relationships/hyperlink" Target="https://baza.drom.ru/sell_spare_parts/+/kia%20rio%204%20%D0%9A%D0%B0%D0%BF%D0%BE%D1%82%20(%D0%B1%2F%D1%83)%20%D0%B1%D1%83/" TargetMode="External"/><Relationship Id="rId111" Type="http://schemas.openxmlformats.org/officeDocument/2006/relationships/hyperlink" Target="https://www.avito.ru/all/zapchasti_i_aksessuary?q=kia%20rio%204%20%D0%9A%D1%80%D1%8B%D0%BB%D0%BE%20%D0%BF%D0%B5%D1%80%D0%B5%D0%B4%D0%BD%D0%B5%D0%B5%20(%D0%B1%2F%D1%83)%20%D0%B1%D1%83" TargetMode="External"/><Relationship Id="rId112" Type="http://schemas.openxmlformats.org/officeDocument/2006/relationships/hyperlink" Target="https://baza.drom.ru/sell_spare_parts/+/kia%20rio%204%20%D0%9A%D1%80%D1%8B%D0%BB%D0%BE%20%D0%BF%D0%B5%D1%80%D0%B5%D0%B4%D0%BD%D0%B5%D0%B5%20(%D0%B1%2F%D1%83)%20%D0%B1%D1%83/" TargetMode="External"/><Relationship Id="rId113" Type="http://schemas.openxmlformats.org/officeDocument/2006/relationships/hyperlink" Target="https://www.avito.ru/all/zapchasti_i_aksessuary?q=kia%20rio%204%20%D0%91%D0%B0%D0%BC%D0%BF%D0%B5%D1%80%20%D0%BF%D0%B5%D1%80%D0%B5%D0%B4%D0%BD%D0%B8%D0%B9%20(%D0%B1%2F%D1%83)%20%D0%B1%D1%83" TargetMode="External"/><Relationship Id="rId114" Type="http://schemas.openxmlformats.org/officeDocument/2006/relationships/hyperlink" Target="https://baza.drom.ru/sell_spare_parts/+/kia%20rio%204%20%D0%91%D0%B0%D0%BC%D0%BF%D0%B5%D1%80%20%D0%BF%D0%B5%D1%80%D0%B5%D0%B4%D0%BD%D0%B8%D0%B9%20(%D0%B1%2F%D1%83)%20%D0%B1%D1%83/" TargetMode="External"/><Relationship Id="rId115" Type="http://schemas.openxmlformats.org/officeDocument/2006/relationships/hyperlink" Target="https://www.avito.ru/all/zapchasti_i_aksessuary?q=kia%20rio%204%20%D0%91%D0%B0%D0%BC%D0%BF%D0%B5%D1%80%20%D0%B7%D0%B0%D0%B4%D0%BD%D0%B8%D0%B9%20(%D0%B1%2F%D1%83)%20%D0%B1%D1%83" TargetMode="External"/><Relationship Id="rId116" Type="http://schemas.openxmlformats.org/officeDocument/2006/relationships/hyperlink" Target="https://baza.drom.ru/sell_spare_parts/+/kia%20rio%204%20%D0%91%D0%B0%D0%BC%D0%BF%D0%B5%D1%80%20%D0%B7%D0%B0%D0%B4%D0%BD%D0%B8%D0%B9%20(%D0%B1%2F%D1%83)%20%D0%B1%D1%83/" TargetMode="External"/><Relationship Id="rId117" Type="http://schemas.openxmlformats.org/officeDocument/2006/relationships/hyperlink" Target="https://www.avito.ru/all/zapchasti_i_aksessuary?q=kia%20rio%204%20%D0%94%D0%B2%D0%B5%D1%80%D1%8C%20%D0%BF%D0%B5%D1%80%D0%B5%D0%B4%D0%BD%D1%8F%D1%8F%20(%D0%B1%2F%D1%83)%20%D0%B1%D1%83" TargetMode="External"/><Relationship Id="rId118" Type="http://schemas.openxmlformats.org/officeDocument/2006/relationships/hyperlink" Target="https://baza.drom.ru/sell_spare_parts/+/kia%20rio%204%20%D0%94%D0%B2%D0%B5%D1%80%D1%8C%20%D0%BF%D0%B5%D1%80%D0%B5%D0%B4%D0%BD%D1%8F%D1%8F%20(%D0%B1%2F%D1%83)%20%D0%B1%D1%83/" TargetMode="External"/><Relationship Id="rId119" Type="http://schemas.openxmlformats.org/officeDocument/2006/relationships/hyperlink" Target="https://www.avito.ru/all/zapchasti_i_aksessuary?q=kia%20rio%204%20%D0%94%D0%B2%D0%B5%D1%80%D1%8C%20%D0%B7%D0%B0%D0%B4%D0%BD%D1%8F%D1%8F%20(%D0%B1%2F%D1%83)%20%D0%B1%D1%83" TargetMode="External"/><Relationship Id="rId120" Type="http://schemas.openxmlformats.org/officeDocument/2006/relationships/hyperlink" Target="https://baza.drom.ru/sell_spare_parts/+/kia%20rio%204%20%D0%94%D0%B2%D0%B5%D1%80%D1%8C%20%D0%B7%D0%B0%D0%B4%D0%BD%D1%8F%D1%8F%20(%D0%B1%2F%D1%83)%20%D0%B1%D1%83/" TargetMode="External"/><Relationship Id="rId121" Type="http://schemas.openxmlformats.org/officeDocument/2006/relationships/hyperlink" Target="https://www.avito.ru/all/zapchasti_i_aksessuary?q=kia%20rio%204%20%D0%9B%D0%BE%D0%B1%D0%BE%D0%B2%D0%BE%D0%B5%20%D1%81%D1%82%D0%B5%D0%BA%D0%BB%D0%BE%20(%D1%81%D0%BD%D1%8F%D1%82%D0%BE%D0%B5)%20%D0%B1%D1%83" TargetMode="External"/><Relationship Id="rId122" Type="http://schemas.openxmlformats.org/officeDocument/2006/relationships/hyperlink" Target="https://baza.drom.ru/sell_spare_parts/+/kia%20rio%204%20%D0%9B%D0%BE%D0%B1%D0%BE%D0%B2%D0%BE%D0%B5%20%D1%81%D1%82%D0%B5%D0%BA%D0%BB%D0%BE%20(%D1%81%D0%BD%D1%8F%D1%82%D0%BE%D0%B5)%20%D0%B1%D1%83/" TargetMode="External"/><Relationship Id="rId123" Type="http://schemas.openxmlformats.org/officeDocument/2006/relationships/hyperlink" Target="https://www.avito.ru/all/zapchasti_i_aksessuary?q=kia%20rio%204%20%D0%91%D0%BE%D0%BA%D0%BE%D0%B2%D0%BE%D0%B5%20%D0%B7%D0%B5%D1%80%D0%BA%D0%B0%D0%BB%D0%BE%20(%D1%8D%D0%BB%D0%B5%D0%BA%D1%82%D1%80%D0%BE%D0%BF%D1%80%D0%B8%D0%B2%D0%BE%D0%B4)%20%D0%B1%D1%83" TargetMode="External"/><Relationship Id="rId124" Type="http://schemas.openxmlformats.org/officeDocument/2006/relationships/hyperlink" Target="https://baza.drom.ru/sell_spare_parts/+/kia%20rio%204%20%D0%91%D0%BE%D0%BA%D0%BE%D0%B2%D0%BE%D0%B5%20%D0%B7%D0%B5%D1%80%D0%BA%D0%B0%D0%BB%D0%BE%20(%D1%8D%D0%BB%D0%B5%D0%BA%D1%82%D1%80%D0%BE%D0%BF%D1%80%D0%B8%D0%B2%D0%BE%D0%B4)%20%D0%B1%D1%83/" TargetMode="External"/><Relationship Id="rId125" Type="http://schemas.openxmlformats.org/officeDocument/2006/relationships/hyperlink" Target="https://www.avito.ru/all/zapchasti_i_aksessuary?q=kia%20rio%204%20%D0%A0%D0%B5%D1%88%D1%91%D1%82%D0%BA%D0%B0%20%D1%80%D0%B0%D0%B4%D0%B8%D0%B0%D1%82%D0%BE%D1%80%D0%B0%20(%D0%B1%2F%D1%83)%20%D0%B1%D1%83" TargetMode="External"/><Relationship Id="rId126" Type="http://schemas.openxmlformats.org/officeDocument/2006/relationships/hyperlink" Target="https://baza.drom.ru/sell_spare_parts/+/kia%20rio%204%20%D0%A0%D0%B5%D1%88%D1%91%D1%82%D0%BA%D0%B0%20%D1%80%D0%B0%D0%B4%D0%B8%D0%B0%D1%82%D0%BE%D1%80%D0%B0%20(%D0%B1%2F%D1%83)%20%D0%B1%D1%83/" TargetMode="External"/><Relationship Id="rId127" Type="http://schemas.openxmlformats.org/officeDocument/2006/relationships/hyperlink" Target="https://www.avito.ru/all/zapchasti_i_aksessuary?q=kia%20rio%204%20%D0%9A%D1%80%D1%8B%D1%88%D0%BA%D0%B0%20%D0%B1%D0%B0%D0%B3%D0%B0%D0%B6%D0%BD%D0%B8%D0%BA%D0%B0%20%2F%20%D1%81%D0%BF%D0%BE%D0%B9%D0%BB%D0%B5%D1%80%20%D0%B1%D1%83" TargetMode="External"/><Relationship Id="rId128" Type="http://schemas.openxmlformats.org/officeDocument/2006/relationships/hyperlink" Target="https://baza.drom.ru/sell_spare_parts/+/kia%20rio%204%20%D0%9A%D1%80%D1%8B%D1%88%D0%BA%D0%B0%20%D0%B1%D0%B0%D0%B3%D0%B0%D0%B6%D0%BD%D0%B8%D0%BA%D0%B0%20%2F%20%D1%81%D0%BF%D0%BE%D0%B9%D0%BB%D0%B5%D1%80%20%D0%B1%D1%83/" TargetMode="External"/><Relationship Id="rId129" Type="http://schemas.openxmlformats.org/officeDocument/2006/relationships/hyperlink" Target="https://www.avito.ru/all/zapchasti_i_aksessuary?q=kia%20rio%204%20%D0%9C%D0%BE%D0%BB%D0%B4%D0%B8%D0%BD%D0%B3%D0%B8%20%2F%20%D1%85%D1%80%D0%BE%D0%BC-%D0%BD%D0%B0%D0%BA%D0%BB%D0%B0%D0%B4%D0%BA%D0%B8%20%D0%B1%D1%83" TargetMode="External"/><Relationship Id="rId130" Type="http://schemas.openxmlformats.org/officeDocument/2006/relationships/hyperlink" Target="https://baza.drom.ru/sell_spare_parts/+/kia%20rio%204%20%D0%9C%D0%BE%D0%BB%D0%B4%D0%B8%D0%BD%D0%B3%D0%B8%20%2F%20%D1%85%D1%80%D0%BE%D0%BC-%D0%BD%D0%B0%D0%BA%D0%BB%D0%B0%D0%B4%D0%BA%D0%B8%20%D0%B1%D1%83/" TargetMode="External"/><Relationship Id="rId131" Type="http://schemas.openxmlformats.org/officeDocument/2006/relationships/hyperlink" Target="https://www.avito.ru/all/zapchasti_i_aksessuary?q=kia%20rio%204%20%D0%9F%D0%BE%D0%B4%D0%BA%D1%80%D1%8B%D0%BB%D0%BA%D0%B8%20(%D0%BB%D0%BE%D0%BA%D0%B5%D1%80%D1%8B)%20%D0%B1%D1%83" TargetMode="External"/><Relationship Id="rId132" Type="http://schemas.openxmlformats.org/officeDocument/2006/relationships/hyperlink" Target="https://baza.drom.ru/sell_spare_parts/+/kia%20rio%204%20%D0%9F%D0%BE%D0%B4%D0%BA%D1%80%D1%8B%D0%BB%D0%BA%D0%B8%20(%D0%BB%D0%BE%D0%BA%D0%B5%D1%80%D1%8B)%20%D0%B1%D1%83/" TargetMode="External"/><Relationship Id="rId133" Type="http://schemas.openxmlformats.org/officeDocument/2006/relationships/hyperlink" Target="https://www.avito.ru/all/zapchasti_i_aksessuary?q=kia%20rio%204%20%D0%91%D0%BB%D0%BE%D0%BA%20%D1%83%D0%BF%D1%80%D0%B0%D0%B2%D0%BB%D0%B5%D0%BD%D0%B8%D1%8F%20%D0%B4%D0%B2%D0%B8%D0%B3%D0%B0%D1%82%D0%B5%D0%BB%D0%B5%D0%BC%20(ECU)%20%D0%B1%D1%83" TargetMode="External"/><Relationship Id="rId134" Type="http://schemas.openxmlformats.org/officeDocument/2006/relationships/hyperlink" Target="https://baza.drom.ru/sell_spare_parts/+/kia%20rio%204%20%D0%91%D0%BB%D0%BE%D0%BA%20%D1%83%D0%BF%D1%80%D0%B0%D0%B2%D0%BB%D0%B5%D0%BD%D0%B8%D1%8F%20%D0%B4%D0%B2%D0%B8%D0%B3%D0%B0%D1%82%D0%B5%D0%BB%D0%B5%D0%BC%20(ECU)%20%D0%B1%D1%83/" TargetMode="External"/><Relationship Id="rId135" Type="http://schemas.openxmlformats.org/officeDocument/2006/relationships/hyperlink" Target="https://www.avito.ru/all/zapchasti_i_aksessuary?q=kia%20rio%204%20%D0%9C%D0%BE%D1%82%D0%BE%D1%80%D1%87%D0%B8%D0%BA%20%D1%81%D1%82%D0%B5%D0%BA%D0%BB%D0%BE%D0%BF%D0%BE%D0%B4%D1%8A%D1%91%D0%BC%D0%BD%D0%B8%D0%BA%D0%B0%20%D0%B1%D1%83" TargetMode="External"/><Relationship Id="rId136" Type="http://schemas.openxmlformats.org/officeDocument/2006/relationships/hyperlink" Target="https://baza.drom.ru/sell_spare_parts/+/kia%20rio%204%20%D0%9C%D0%BE%D1%82%D0%BE%D1%80%D1%87%D0%B8%D0%BA%20%D1%81%D1%82%D0%B5%D0%BA%D0%BB%D0%BE%D0%BF%D0%BE%D0%B4%D1%8A%D1%91%D0%BC%D0%BD%D0%B8%D0%BA%D0%B0%20%D0%B1%D1%83/" TargetMode="External"/><Relationship Id="rId137" Type="http://schemas.openxmlformats.org/officeDocument/2006/relationships/hyperlink" Target="https://www.avito.ru/all/zapchasti_i_aksessuary?q=kia%20rio%204%20%D0%9C%D0%BE%D1%82%D0%BE%D1%80%20%D0%BE%D1%82%D0%BE%D0%BF%D0%B8%D1%82%D0%B5%D0%BB%D1%8F%20%2F%20%D0%BA%D0%BE%D1%80%D0%BF%D1%83%D1%81%20%D0%BF%D0%B5%D1%87%D0%BA%D0%B8%20%D0%B1%D1%83" TargetMode="External"/><Relationship Id="rId138" Type="http://schemas.openxmlformats.org/officeDocument/2006/relationships/hyperlink" Target="https://baza.drom.ru/sell_spare_parts/+/kia%20rio%204%20%D0%9C%D0%BE%D1%82%D0%BE%D1%80%20%D0%BE%D1%82%D0%BE%D0%BF%D0%B8%D1%82%D0%B5%D0%BB%D1%8F%20%2F%20%D0%BA%D0%BE%D1%80%D0%BF%D1%83%D1%81%20%D0%BF%D0%B5%D1%87%D0%BA%D0%B8%20%D0%B1%D1%83/" TargetMode="External"/><Relationship Id="rId139" Type="http://schemas.openxmlformats.org/officeDocument/2006/relationships/hyperlink" Target="https://www.avito.ru/all/zapchasti_i_aksessuary?q=kia%20rio%204%20%D0%A2%D1%80%D0%B0%D0%BF%D0%B5%D1%86%D0%B8%D1%8F%20%D1%81%D1%82%D0%B5%D0%BA%D0%BB%D0%BE%D0%BE%D1%87%D0%B8%D1%81%D1%82%D0%B8%D1%82%D0%B5%D0%BB%D1%8F%20%D1%81%20%D0%BC%D0%BE%D1%82%D0%BE%D1%80%D0%BE%D0%BC%20%D0%B1%D1%83" TargetMode="External"/><Relationship Id="rId140" Type="http://schemas.openxmlformats.org/officeDocument/2006/relationships/hyperlink" Target="https://baza.drom.ru/sell_spare_parts/+/kia%20rio%204%20%D0%A2%D1%80%D0%B0%D0%BF%D0%B5%D1%86%D0%B8%D1%8F%20%D1%81%D1%82%D0%B5%D0%BA%D0%BB%D0%BE%D0%BE%D1%87%D0%B8%D1%81%D1%82%D0%B8%D1%82%D0%B5%D0%BB%D1%8F%20%D1%81%20%D0%BC%D0%BE%D1%82%D0%BE%D1%80%D0%BE%D0%BC%20%D0%B1%D1%83/" TargetMode="External"/><Relationship Id="rId141" Type="http://schemas.openxmlformats.org/officeDocument/2006/relationships/hyperlink" Target="https://www.avito.ru/all/zapchasti_i_aksessuary?q=kia%20rio%204%20%D0%97%D0%B0%D0%BC%D0%BE%D0%BA%20%D0%B4%D0%B2%D0%B5%D1%80%D0%B8%20%D1%81%20%D0%B0%D0%BA%D1%82%D1%83%D0%B0%D1%82%D0%BE%D1%80%D0%BE%D0%BC%20%D0%B1%D1%83" TargetMode="External"/><Relationship Id="rId142" Type="http://schemas.openxmlformats.org/officeDocument/2006/relationships/hyperlink" Target="https://baza.drom.ru/sell_spare_parts/+/kia%20rio%204%20%D0%97%D0%B0%D0%BC%D0%BE%D0%BA%20%D0%B4%D0%B2%D0%B5%D1%80%D0%B8%20%D1%81%20%D0%B0%D0%BA%D1%82%D1%83%D0%B0%D1%82%D0%BE%D1%80%D0%BE%D0%BC%20%D0%B1%D1%83/" TargetMode="External"/><Relationship Id="rId143" Type="http://schemas.openxmlformats.org/officeDocument/2006/relationships/hyperlink" Target="https://www.avito.ru/all/zapchasti_i_aksessuary?q=kia%20rio%204%20%D0%97%D0%B0%D0%BC%D0%BE%D0%BA%20%D0%B7%D0%B0%D0%B6%D0%B8%D0%B3%D0%B0%D0%BD%D0%B8%D1%8F%20%2F%20%D0%BA%D0%BD%D0%BE%D0%BF%D0%BA%D0%B0%20%D0%BF%D1%83%D1%81%D0%BA%D0%B0%20%D0%B1%D1%83" TargetMode="External"/><Relationship Id="rId144" Type="http://schemas.openxmlformats.org/officeDocument/2006/relationships/hyperlink" Target="https://baza.drom.ru/sell_spare_parts/+/kia%20rio%204%20%D0%97%D0%B0%D0%BC%D0%BE%D0%BA%20%D0%B7%D0%B0%D0%B6%D0%B8%D0%B3%D0%B0%D0%BD%D0%B8%D1%8F%20%2F%20%D0%BA%D0%BD%D0%BE%D0%BF%D0%BA%D0%B0%20%D0%BF%D1%83%D1%81%D0%BA%D0%B0%20%D0%B1%D1%83/" TargetMode="External"/><Relationship Id="rId145" Type="http://schemas.openxmlformats.org/officeDocument/2006/relationships/hyperlink" Target="https://www.avito.ru/all/zapchasti_i_aksessuary?q=kia%20rio%204%20%D0%9F%D0%B0%D0%BD%D0%B5%D0%BB%D1%8C%20%D0%BF%D1%80%D0%B8%D0%B1%D0%BE%D1%80%D0%BE%D0%B2%20%D0%B1%D1%83" TargetMode="External"/><Relationship Id="rId146" Type="http://schemas.openxmlformats.org/officeDocument/2006/relationships/hyperlink" Target="https://baza.drom.ru/sell_spare_parts/+/kia%20rio%204%20%D0%9F%D0%B0%D0%BD%D0%B5%D0%BB%D1%8C%20%D0%BF%D1%80%D0%B8%D0%B1%D0%BE%D1%80%D0%BE%D0%B2%20%D0%B1%D1%83/" TargetMode="External"/><Relationship Id="rId147" Type="http://schemas.openxmlformats.org/officeDocument/2006/relationships/hyperlink" Target="https://www.avito.ru/all/zapchasti_i_aksessuary?q=kia%20rio%204%20%D0%96%D0%B3%D1%83%D1%82%20%D0%BF%D1%80%D0%BE%D0%B2%D0%BE%D0%B4%D0%BA%D0%B8%20%D0%B1%D1%83" TargetMode="External"/><Relationship Id="rId148" Type="http://schemas.openxmlformats.org/officeDocument/2006/relationships/hyperlink" Target="https://baza.drom.ru/sell_spare_parts/+/kia%20rio%204%20%D0%96%D0%B3%D1%83%D1%82%20%D0%BF%D1%80%D0%BE%D0%B2%D0%BE%D0%B4%D0%BA%D0%B8%20%D0%B1%D1%83/" TargetMode="External"/><Relationship Id="rId149" Type="http://schemas.openxmlformats.org/officeDocument/2006/relationships/hyperlink" Target="https://www.avito.ru/all/zapchasti_i_aksessuary?q=kia%20rio%204%20%D0%9C%D1%83%D0%BB%D1%8C%D1%82%D0%B8%D0%BC%D0%B5%D0%B4%D0%B8%D0%B0%20(%D1%88%D1%82%D0%B0%D1%82%D0%BD%D0%BE%D0%B5%20%D0%93%D0%A3)%20%D0%B1%D1%83" TargetMode="External"/><Relationship Id="rId150" Type="http://schemas.openxmlformats.org/officeDocument/2006/relationships/hyperlink" Target="https://baza.drom.ru/sell_spare_parts/+/kia%20rio%204%20%D0%9C%D1%83%D0%BB%D1%8C%D1%82%D0%B8%D0%BC%D0%B5%D0%B4%D0%B8%D0%B0%20(%D1%88%D1%82%D0%B0%D1%82%D0%BD%D0%BE%D0%B5%20%D0%93%D0%A3)%20%D0%B1%D1%83/" TargetMode="External"/><Relationship Id="rId151" Type="http://schemas.openxmlformats.org/officeDocument/2006/relationships/hyperlink" Target="https://www.avito.ru/all/zapchasti_i_aksessuary?q=kia%20rio%204%20%D0%94%D0%B0%D1%82%D1%87%D0%B8%D0%BA%D0%B8%20%D0%BF%D0%B0%D1%80%D0%BA%D0%BE%D0%B2%D0%BA%D0%B8%20%D0%B1%D1%83" TargetMode="External"/><Relationship Id="rId152" Type="http://schemas.openxmlformats.org/officeDocument/2006/relationships/hyperlink" Target="https://baza.drom.ru/sell_spare_parts/+/kia%20rio%204%20%D0%94%D0%B0%D1%82%D1%87%D0%B8%D0%BA%D0%B8%20%D0%BF%D0%B0%D1%80%D0%BA%D0%BE%D0%B2%D0%BA%D0%B8%20%D0%B1%D1%83/" TargetMode="External"/><Relationship Id="rId153" Type="http://schemas.openxmlformats.org/officeDocument/2006/relationships/hyperlink" Target="https://www.avito.ru/all/zapchasti_i_aksessuary?q=kia%20rio%204%20%D0%A1%D0%B8%D0%B4%D0%B5%D0%BD%D1%8C%D0%B5%20%D0%BF%D0%B5%D1%80%D0%B5%D0%B4%D0%BD%D0%B5%D0%B5%20(%D0%B2%20%D1%81%D0%B1%D0%BE%D1%80%D0%B5)%20%D0%B1%D1%83" TargetMode="External"/><Relationship Id="rId154" Type="http://schemas.openxmlformats.org/officeDocument/2006/relationships/hyperlink" Target="https://baza.drom.ru/sell_spare_parts/+/kia%20rio%204%20%D0%A1%D0%B8%D0%B4%D0%B5%D0%BD%D1%8C%D0%B5%20%D0%BF%D0%B5%D1%80%D0%B5%D0%B4%D0%BD%D0%B5%D0%B5%20(%D0%B2%20%D1%81%D0%B1%D0%BE%D1%80%D0%B5)%20%D0%B1%D1%83/" TargetMode="External"/><Relationship Id="rId155" Type="http://schemas.openxmlformats.org/officeDocument/2006/relationships/hyperlink" Target="https://www.avito.ru/all/zapchasti_i_aksessuary?q=kia%20rio%204%20%D0%97%D0%B0%D0%B4%D0%BD%D0%B8%D0%B9%20%D0%B4%D0%B8%D0%B2%D0%B0%D0%BD%20%D0%B1%D1%83" TargetMode="External"/><Relationship Id="rId156" Type="http://schemas.openxmlformats.org/officeDocument/2006/relationships/hyperlink" Target="https://baza.drom.ru/sell_spare_parts/+/kia%20rio%204%20%D0%97%D0%B0%D0%B4%D0%BD%D0%B8%D0%B9%20%D0%B4%D0%B8%D0%B2%D0%B0%D0%BD%20%D0%B1%D1%83/" TargetMode="External"/><Relationship Id="rId157" Type="http://schemas.openxmlformats.org/officeDocument/2006/relationships/hyperlink" Target="https://www.avito.ru/all/zapchasti_i_aksessuary?q=kia%20rio%204%20%D0%9F%D0%BE%D0%B4%D1%83%D1%88%D0%BA%D0%B0%20%D0%B1%D0%B5%D0%B7%D0%BE%D0%BF%D0%B0%D1%81%D0%BD%D0%BE%D1%81%D1%82%D0%B8%20(airbag)%20%D0%B1%D1%83" TargetMode="External"/><Relationship Id="rId158" Type="http://schemas.openxmlformats.org/officeDocument/2006/relationships/hyperlink" Target="https://baza.drom.ru/sell_spare_parts/+/kia%20rio%204%20%D0%9F%D0%BE%D0%B4%D1%83%D1%88%D0%BA%D0%B0%20%D0%B1%D0%B5%D0%B7%D0%BE%D0%BF%D0%B0%D1%81%D0%BD%D0%BE%D1%81%D1%82%D0%B8%20(airbag)%20%D0%B1%D1%83/" TargetMode="External"/><Relationship Id="rId159" Type="http://schemas.openxmlformats.org/officeDocument/2006/relationships/hyperlink" Target="https://www.avito.ru/all/zapchasti_i_aksessuary?q=kia%20rio%204%20%D0%A0%D1%83%D0%BB%D1%8C%20(%D1%81%20%D0%BF%D0%BE%D0%B4%D1%83%D1%88%D0%BA%D0%BE%D0%B9%20%2F%20%D0%B1%D0%B5%D0%B7)%20%D0%B1%D1%83" TargetMode="External"/><Relationship Id="rId160" Type="http://schemas.openxmlformats.org/officeDocument/2006/relationships/hyperlink" Target="https://baza.drom.ru/sell_spare_parts/+/kia%20rio%204%20%D0%A0%D1%83%D0%BB%D1%8C%20(%D1%81%20%D0%BF%D0%BE%D0%B4%D1%83%D1%88%D0%BA%D0%BE%D0%B9%20%2F%20%D0%B1%D0%B5%D0%B7)%20%D0%B1%D1%83/" TargetMode="External"/><Relationship Id="rId161" Type="http://schemas.openxmlformats.org/officeDocument/2006/relationships/hyperlink" Target="https://www.avito.ru/all/zapchasti_i_aksessuary?q=kia%20rio%204%20%D0%9E%D0%B1%D1%88%D0%B8%D0%B2%D0%BA%D0%B0%20%D1%82%D0%BE%D1%80%D0%BF%D0%B5%D0%B4%D0%BE%20%D0%B1%D1%83" TargetMode="External"/><Relationship Id="rId162" Type="http://schemas.openxmlformats.org/officeDocument/2006/relationships/hyperlink" Target="https://baza.drom.ru/sell_spare_parts/+/kia%20rio%204%20%D0%9E%D0%B1%D1%88%D0%B8%D0%B2%D0%BA%D0%B0%20%D1%82%D0%BE%D1%80%D0%BF%D0%B5%D0%B4%D0%BE%20%D0%B1%D1%83/" TargetMode="External"/><Relationship Id="rId163" Type="http://schemas.openxmlformats.org/officeDocument/2006/relationships/hyperlink" Target="https://www.avito.ru/all/zapchasti_i_aksessuary?q=kia%20rio%204%20%D0%94%D0%B2%D0%B5%D1%80%D0%BD%D1%8B%D0%B5%20%D0%BA%D0%B0%D1%80%D1%82%D1%8B%20%2F%20%D0%BE%D0%B1%D1%88%D0%B8%D0%B2%D0%BA%D0%B8%20%D0%B1%D1%83" TargetMode="External"/><Relationship Id="rId164" Type="http://schemas.openxmlformats.org/officeDocument/2006/relationships/hyperlink" Target="https://baza.drom.ru/sell_spare_parts/+/kia%20rio%204%20%D0%94%D0%B2%D0%B5%D1%80%D0%BD%D1%8B%D0%B5%20%D0%BA%D0%B0%D1%80%D1%82%D1%8B%20%2F%20%D0%BE%D0%B1%D1%88%D0%B8%D0%B2%D0%BA%D0%B8%20%D0%B1%D1%83/" TargetMode="External"/><Relationship Id="rId165" Type="http://schemas.openxmlformats.org/officeDocument/2006/relationships/hyperlink" Target="https://www.avito.ru/all/zapchasti_i_aksessuary?q=kia%20rio%204%20%D0%9E%D0%B1%D0%B8%D0%B2%D0%BA%D0%B0%20%D0%BF%D0%BE%D1%82%D0%BE%D0%BB%D0%BA%D0%B0%20%D0%B1%D1%83" TargetMode="External"/><Relationship Id="rId166" Type="http://schemas.openxmlformats.org/officeDocument/2006/relationships/hyperlink" Target="https://baza.drom.ru/sell_spare_parts/+/kia%20rio%204%20%D0%9E%D0%B1%D0%B8%D0%B2%D0%BA%D0%B0%20%D0%BF%D0%BE%D1%82%D0%BE%D0%BB%D0%BA%D0%B0%20%D0%B1%D1%83/" TargetMode="External"/><Relationship Id="rId167" Type="http://schemas.openxmlformats.org/officeDocument/2006/relationships/hyperlink" Target="https://www.avito.ru/all/zapchasti_i_aksessuary?q=kia%20rio%204%20%D0%9E%D0%B1%D0%B8%D0%B2%D0%BA%D0%B0%20%D0%B1%D0%B0%D0%B3%D0%B0%D0%B6%D0%BD%D0%B8%D0%BA%D0%B0%20%D0%B1%D1%83" TargetMode="External"/><Relationship Id="rId168" Type="http://schemas.openxmlformats.org/officeDocument/2006/relationships/hyperlink" Target="https://baza.drom.ru/sell_spare_parts/+/kia%20rio%204%20%D0%9E%D0%B1%D0%B8%D0%B2%D0%BA%D0%B0%20%D0%B1%D0%B0%D0%B3%D0%B0%D0%B6%D0%BD%D0%B8%D0%BA%D0%B0%20%D0%B1%D1%83/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excelprice.ru" TargetMode="External"/><Relationship Id="rId2" Type="http://schemas.openxmlformats.org/officeDocument/2006/relationships/hyperlink" Target="https://t.me/Excelprice" TargetMode="External"/><Relationship Id="rId3" Type="http://schemas.openxmlformats.org/officeDocument/2006/relationships/hyperlink" Target="https://wa.me/79000004469" TargetMode="External"/><Relationship Id="rId4" Type="http://schemas.openxmlformats.org/officeDocument/2006/relationships/hyperlink" Target="mailto:dot.akc@yandex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 zoomScale="100" zoomScaleNormal="100"/>
  </sheetViews>
  <sheetFormatPr defaultRowHeight="15" outlineLevelRow="0" outlineLevelCol="0" x14ac:dyDescent="55"/>
  <cols>
    <col min="1" max="1" width="26" customWidth="1"/>
    <col min="2" max="2" width="12" customWidth="1"/>
    <col min="3" max="4" width="16" customWidth="1"/>
    <col min="5" max="5" width="14" customWidth="1"/>
    <col min="6" max="6" width="12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2" ht="32" customHeight="1" spans="1:6" x14ac:dyDescent="0.25">
      <c r="A2" s="2" t="s">
        <v>1</v>
      </c>
      <c r="B2" s="2"/>
      <c r="C2" s="2"/>
      <c r="D2" s="2"/>
      <c r="E2" s="2"/>
      <c r="F2" s="2"/>
    </row>
    <row r="3" ht="26" customHeight="1" spans="1:5" x14ac:dyDescent="0.25">
      <c r="A3" s="3" t="s">
        <v>2</v>
      </c>
      <c r="C3" s="3" t="s">
        <v>3</v>
      </c>
      <c r="E3" s="3" t="s">
        <v>4</v>
      </c>
    </row>
    <row r="4" ht="30" customHeight="1" spans="1:5" x14ac:dyDescent="0.25">
      <c r="A4" s="4">
        <f>COUNTA('Прайс'!$C$4:$C$87)</f>
        <v>84</v>
      </c>
      <c r="C4" s="4">
        <f>COUNTA('Дашборд'!$B$9:$B$15)</f>
        <v>7</v>
      </c>
      <c r="E4" s="4">
        <f>COUNT('Прайс'!$E$4:$E$87)</f>
        <v>54</v>
      </c>
    </row>
    <row r="8" spans="1:1" x14ac:dyDescent="0.25">
      <c r="A8" s="5" t="s">
        <v>5</v>
      </c>
    </row>
    <row r="9" spans="1:6" x14ac:dyDescent="0.25">
      <c r="A9" s="6" t="s">
        <v>6</v>
      </c>
      <c r="B9" s="6" t="s">
        <v>7</v>
      </c>
      <c r="C9" s="6" t="s">
        <v>8</v>
      </c>
      <c r="D9" s="6" t="s">
        <v>9</v>
      </c>
      <c r="E9" s="6" t="s">
        <v>10</v>
      </c>
      <c r="F9" s="6" t="s">
        <v>11</v>
      </c>
    </row>
    <row r="10" spans="1:6" x14ac:dyDescent="0.25">
      <c r="A10" s="7" t="s">
        <v>12</v>
      </c>
      <c r="B10" s="8">
        <f>COUNTIF('Прайс'!$B$4:$B$87,A10)</f>
        <v>28</v>
      </c>
      <c r="C10" s="9">
        <f>AVERAGEIF('Прайс'!$B$4:$B$87,A10,'Прайс'!$E$4:$E$87)</f>
        <v>12392</v>
      </c>
      <c r="D10" s="9">
        <f>AVERAGEIF('Прайс'!$B$4:$B$87,A10,'Прайс'!$F$4:$F$87)</f>
        <v>19194</v>
      </c>
      <c r="E10" s="9">
        <f>ROUND((C10+D10)/2,0)</f>
        <v>15793</v>
      </c>
      <c r="F10" s="9">
        <f>D10-C10</f>
        <v>6802</v>
      </c>
    </row>
    <row r="11" spans="1:6" x14ac:dyDescent="0.25">
      <c r="A11" s="7" t="s">
        <v>13</v>
      </c>
      <c r="B11" s="8">
        <f>COUNTIF('Прайс'!$B$4:$B$87,A11)</f>
        <v>6</v>
      </c>
      <c r="C11" s="9">
        <f>AVERAGEIF('Прайс'!$B$4:$B$87,A11,'Прайс'!$E$4:$E$87)</f>
        <v>44633</v>
      </c>
      <c r="D11" s="9">
        <f>AVERAGEIF('Прайс'!$B$4:$B$87,A11,'Прайс'!$F$4:$F$87)</f>
        <v>56488</v>
      </c>
      <c r="E11" s="9">
        <f>ROUND((C11+D11)/2,0)</f>
        <v>50561</v>
      </c>
      <c r="F11" s="9">
        <f>D11-C11</f>
        <v>11855</v>
      </c>
    </row>
    <row r="12" spans="1:6" x14ac:dyDescent="0.25">
      <c r="A12" s="7" t="s">
        <v>14</v>
      </c>
      <c r="B12" s="8">
        <f>COUNTIF('Прайс'!$B$4:$B$87,A12)</f>
        <v>12</v>
      </c>
      <c r="C12" s="9">
        <f>AVERAGEIF('Прайс'!$B$4:$B$87,A12,'Прайс'!$E$4:$E$87)</f>
        <v>16250</v>
      </c>
      <c r="D12" s="9">
        <f>AVERAGEIF('Прайс'!$B$4:$B$87,A12,'Прайс'!$F$4:$F$87)</f>
        <v>17500</v>
      </c>
      <c r="E12" s="9">
        <f>ROUND((C12+D12)/2,0)</f>
        <v>16875</v>
      </c>
      <c r="F12" s="9">
        <f>D12-C12</f>
        <v>1250</v>
      </c>
    </row>
    <row r="13" spans="1:6" x14ac:dyDescent="0.25">
      <c r="A13" s="7" t="s">
        <v>15</v>
      </c>
      <c r="B13" s="8">
        <f>COUNTIF('Прайс'!$B$4:$B$87,A13)</f>
        <v>6</v>
      </c>
      <c r="C13" s="9">
        <f>AVERAGEIF('Прайс'!$B$4:$B$87,A13,'Прайс'!$E$4:$E$87)</f>
        <v>1733</v>
      </c>
      <c r="D13" s="9">
        <f>AVERAGEIF('Прайс'!$B$4:$B$87,A13,'Прайс'!$F$4:$F$87)</f>
        <v>6767</v>
      </c>
      <c r="E13" s="9">
        <f>ROUND((C13+D13)/2,0)</f>
        <v>4250</v>
      </c>
      <c r="F13" s="9">
        <f>D13-C13</f>
        <v>5034</v>
      </c>
    </row>
    <row r="14" spans="1:6" x14ac:dyDescent="0.25">
      <c r="A14" s="7" t="s">
        <v>16</v>
      </c>
      <c r="B14" s="8">
        <f>COUNTIF('Прайс'!$B$4:$B$87,A14)</f>
        <v>14</v>
      </c>
      <c r="C14" s="9">
        <f>AVERAGEIF('Прайс'!$B$4:$B$87,A14,'Прайс'!$E$4:$E$87)</f>
        <v>6629</v>
      </c>
      <c r="D14" s="9">
        <f>AVERAGEIF('Прайс'!$B$4:$B$87,A14,'Прайс'!$F$4:$F$87)</f>
        <v>20142</v>
      </c>
      <c r="E14" s="9">
        <f>ROUND((C14+D14)/2,0)</f>
        <v>13386</v>
      </c>
      <c r="F14" s="9">
        <f>D14-C14</f>
        <v>13513</v>
      </c>
    </row>
    <row r="15" spans="1:6" x14ac:dyDescent="0.25">
      <c r="A15" s="7" t="s">
        <v>17</v>
      </c>
      <c r="B15" s="8">
        <f>COUNTIF('Прайс'!$B$4:$B$87,A15)</f>
        <v>10</v>
      </c>
      <c r="C15" s="9">
        <f>AVERAGEIF('Прайс'!$B$4:$B$87,A15,'Прайс'!$E$4:$E$87)</f>
        <v>4694</v>
      </c>
      <c r="D15" s="9">
        <f>AVERAGEIF('Прайс'!$B$4:$B$87,A15,'Прайс'!$F$4:$F$87)</f>
        <v>13458</v>
      </c>
      <c r="E15" s="9">
        <f>ROUND((C15+D15)/2,0)</f>
        <v>9076</v>
      </c>
      <c r="F15" s="9">
        <f>D15-C15</f>
        <v>8764</v>
      </c>
    </row>
    <row r="16" spans="1:6" x14ac:dyDescent="0.25">
      <c r="A16" s="7" t="s">
        <v>18</v>
      </c>
      <c r="B16" s="8">
        <f>COUNTIF('Прайс'!$B$4:$B$87,A16)</f>
        <v>8</v>
      </c>
      <c r="C16" s="9">
        <f>AVERAGEIF('Прайс'!$B$4:$B$87,A16,'Прайс'!$E$4:$E$87)</f>
        <v>4806</v>
      </c>
      <c r="D16" s="9">
        <f>AVERAGEIF('Прайс'!$B$4:$B$87,A16,'Прайс'!$F$4:$F$87)</f>
        <v>16751</v>
      </c>
      <c r="E16" s="9">
        <f>ROUND((C16+D16)/2,0)</f>
        <v>10779</v>
      </c>
      <c r="F16" s="9">
        <f>D16-C16</f>
        <v>11945</v>
      </c>
    </row>
    <row r="18" spans="1:1" x14ac:dyDescent="0.25">
      <c r="A18" s="5" t="s">
        <v>19</v>
      </c>
    </row>
    <row r="19" spans="1:1" x14ac:dyDescent="0.25">
      <c r="A19" s="10" t="s">
        <v>20</v>
      </c>
    </row>
    <row r="20" spans="1:1" x14ac:dyDescent="0.25">
      <c r="A20" s="10" t="s">
        <v>21</v>
      </c>
    </row>
    <row r="21" spans="1:1" x14ac:dyDescent="0.25">
      <c r="A21" s="10" t="s">
        <v>22</v>
      </c>
    </row>
    <row r="22" spans="1:1" x14ac:dyDescent="0.25">
      <c r="A22" s="10" t="s">
        <v>23</v>
      </c>
    </row>
  </sheetData>
  <mergeCells count="2">
    <mergeCell ref="A1:F1"/>
    <mergeCell ref="A2:F2"/>
  </mergeCells>
  <conditionalFormatting sqref="E10:E16">
    <cfRule type="dataBar" priority="1">
      <dataBar>
        <cfvo type="min"/>
        <cfvo type="max"/>
        <color rgb="FF2A7F77"/>
      </dataBar>
      <extLst>
        <ext xmlns:x14="http://schemas.microsoft.com/office/spreadsheetml/2009/9/main" uri="{B025F937-C7B1-47D3-B67F-A62EFF666E3E}">
          <x14:id>{36736296-5060-4EB8-854A-0ED28EE049D1}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Views>
    <sheetView workbookViewId="0" showGridLines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42" customWidth="1"/>
    <col min="4" max="4" width="18" customWidth="1"/>
    <col min="5" max="6" width="13" customWidth="1"/>
    <col min="7" max="7" width="12" customWidth="1"/>
    <col min="8" max="8" width="48" customWidth="1"/>
    <col min="9" max="9" width="14" customWidth="1"/>
    <col min="10" max="11" width="24" customWidth="1"/>
  </cols>
  <sheetData>
    <row r="1" ht="28" customHeight="1" spans="1:11" x14ac:dyDescent="0.25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2" customHeight="1" spans="1:11" x14ac:dyDescent="0.25">
      <c r="A2" s="2" t="s">
        <v>25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6" t="s">
        <v>26</v>
      </c>
      <c r="B3" s="6" t="s">
        <v>6</v>
      </c>
      <c r="C3" s="6" t="s">
        <v>27</v>
      </c>
      <c r="D3" s="6" t="s">
        <v>28</v>
      </c>
      <c r="E3" s="6" t="s">
        <v>29</v>
      </c>
      <c r="F3" s="6" t="s">
        <v>30</v>
      </c>
      <c r="G3" s="6" t="s">
        <v>10</v>
      </c>
      <c r="H3" s="6" t="s">
        <v>31</v>
      </c>
      <c r="I3" s="6" t="s">
        <v>32</v>
      </c>
      <c r="J3" s="6" t="s">
        <v>33</v>
      </c>
      <c r="K3" s="6" t="s">
        <v>34</v>
      </c>
    </row>
    <row r="4" ht="24" customHeight="1" spans="1:11" x14ac:dyDescent="0.25">
      <c r="A4" s="11">
        <v>1</v>
      </c>
      <c r="B4" s="7" t="s">
        <v>12</v>
      </c>
      <c r="C4" s="7" t="s">
        <v>35</v>
      </c>
      <c r="D4" s="7" t="s">
        <v>36</v>
      </c>
      <c r="E4" s="9">
        <v>89000</v>
      </c>
      <c r="F4" s="9">
        <v>135000</v>
      </c>
      <c r="G4" s="9">
        <f>ROUND((E4+F4)/2,0)</f>
        <v>112000</v>
      </c>
      <c r="H4" s="12" t="s">
        <v>37</v>
      </c>
      <c r="I4" s="9">
        <f>E4</f>
        <v>89000</v>
      </c>
      <c r="J4" s="13" t="s">
        <v>33</v>
      </c>
      <c r="K4" s="14" t="s">
        <v>34</v>
      </c>
    </row>
    <row r="5" ht="24" customHeight="1" spans="1:11" x14ac:dyDescent="0.25">
      <c r="A5" s="11">
        <v>2</v>
      </c>
      <c r="B5" s="7" t="s">
        <v>12</v>
      </c>
      <c r="C5" s="7" t="s">
        <v>38</v>
      </c>
      <c r="D5" s="7" t="s">
        <v>39</v>
      </c>
      <c r="E5" s="9">
        <v>30900</v>
      </c>
      <c r="F5" s="9">
        <v>30900</v>
      </c>
      <c r="G5" s="9">
        <f>ROUND((E5+F5)/2,0)</f>
        <v>30900</v>
      </c>
      <c r="H5" s="12" t="s">
        <v>40</v>
      </c>
      <c r="I5" s="9">
        <f>E5</f>
        <v>30900</v>
      </c>
      <c r="J5" s="13" t="s">
        <v>33</v>
      </c>
      <c r="K5" s="14" t="s">
        <v>34</v>
      </c>
    </row>
    <row r="6" ht="24" customHeight="1" spans="1:11" x14ac:dyDescent="0.25">
      <c r="A6" s="11">
        <v>3</v>
      </c>
      <c r="B6" s="7" t="s">
        <v>12</v>
      </c>
      <c r="C6" s="7" t="s">
        <v>41</v>
      </c>
      <c r="D6" s="7" t="s">
        <v>42</v>
      </c>
      <c r="E6" s="9">
        <v>9000</v>
      </c>
      <c r="F6" s="9">
        <v>25700</v>
      </c>
      <c r="G6" s="9">
        <f>ROUND((E6+F6)/2,0)</f>
        <v>17350</v>
      </c>
      <c r="H6" s="12" t="s">
        <v>43</v>
      </c>
      <c r="I6" s="9">
        <f>E6</f>
        <v>9000</v>
      </c>
      <c r="J6" s="13" t="s">
        <v>33</v>
      </c>
      <c r="K6" s="14" t="s">
        <v>34</v>
      </c>
    </row>
    <row r="7" ht="24" customHeight="1" spans="1:11" x14ac:dyDescent="0.25">
      <c r="A7" s="11">
        <v>4</v>
      </c>
      <c r="B7" s="7" t="s">
        <v>12</v>
      </c>
      <c r="C7" s="7" t="s">
        <v>44</v>
      </c>
      <c r="D7" s="7" t="s">
        <v>45</v>
      </c>
      <c r="E7" s="9">
        <v>8000</v>
      </c>
      <c r="F7" s="9">
        <v>16200</v>
      </c>
      <c r="G7" s="9">
        <f>ROUND((E7+F7)/2,0)</f>
        <v>12100</v>
      </c>
      <c r="H7" s="12" t="s">
        <v>46</v>
      </c>
      <c r="I7" s="9">
        <f>E7</f>
        <v>8000</v>
      </c>
      <c r="J7" s="13" t="s">
        <v>33</v>
      </c>
      <c r="K7" s="14" t="s">
        <v>34</v>
      </c>
    </row>
    <row r="8" ht="24" customHeight="1" spans="1:11" x14ac:dyDescent="0.25">
      <c r="A8" s="11">
        <v>5</v>
      </c>
      <c r="B8" s="7" t="s">
        <v>12</v>
      </c>
      <c r="C8" s="7" t="s">
        <v>47</v>
      </c>
      <c r="D8" s="7" t="s">
        <v>36</v>
      </c>
      <c r="E8" s="9">
        <v>5500</v>
      </c>
      <c r="F8" s="9">
        <v>5500</v>
      </c>
      <c r="G8" s="9">
        <f>ROUND((E8+F8)/2,0)</f>
        <v>5500</v>
      </c>
      <c r="H8" s="12" t="s">
        <v>48</v>
      </c>
      <c r="I8" s="9">
        <f>E8</f>
        <v>5500</v>
      </c>
      <c r="J8" s="13" t="s">
        <v>33</v>
      </c>
      <c r="K8" s="14" t="s">
        <v>34</v>
      </c>
    </row>
    <row r="9" ht="24" customHeight="1" spans="1:11" x14ac:dyDescent="0.25">
      <c r="A9" s="11">
        <v>6</v>
      </c>
      <c r="B9" s="7" t="s">
        <v>12</v>
      </c>
      <c r="C9" s="7" t="s">
        <v>49</v>
      </c>
      <c r="D9" s="7" t="s">
        <v>50</v>
      </c>
      <c r="E9" s="15" t="s">
        <v>51</v>
      </c>
      <c r="F9" s="15" t="s">
        <v>51</v>
      </c>
      <c r="G9" s="15" t="s">
        <v>51</v>
      </c>
      <c r="H9" s="12" t="s">
        <v>52</v>
      </c>
      <c r="I9" s="15" t="s">
        <v>51</v>
      </c>
      <c r="J9" s="13" t="s">
        <v>33</v>
      </c>
      <c r="K9" s="14" t="s">
        <v>34</v>
      </c>
    </row>
    <row r="10" ht="24" customHeight="1" spans="1:11" x14ac:dyDescent="0.25">
      <c r="A10" s="11">
        <v>7</v>
      </c>
      <c r="B10" s="7" t="s">
        <v>12</v>
      </c>
      <c r="C10" s="7" t="s">
        <v>53</v>
      </c>
      <c r="D10" s="7" t="s">
        <v>54</v>
      </c>
      <c r="E10" s="15" t="s">
        <v>51</v>
      </c>
      <c r="F10" s="15" t="s">
        <v>51</v>
      </c>
      <c r="G10" s="15" t="s">
        <v>51</v>
      </c>
      <c r="H10" s="12" t="s">
        <v>55</v>
      </c>
      <c r="I10" s="15" t="s">
        <v>51</v>
      </c>
      <c r="J10" s="13" t="s">
        <v>33</v>
      </c>
      <c r="K10" s="14" t="s">
        <v>34</v>
      </c>
    </row>
    <row r="11" ht="24" customHeight="1" spans="1:11" x14ac:dyDescent="0.25">
      <c r="A11" s="11">
        <v>8</v>
      </c>
      <c r="B11" s="7" t="s">
        <v>12</v>
      </c>
      <c r="C11" s="7" t="s">
        <v>56</v>
      </c>
      <c r="D11" s="7" t="s">
        <v>57</v>
      </c>
      <c r="E11" s="9">
        <v>1000</v>
      </c>
      <c r="F11" s="9">
        <v>1500</v>
      </c>
      <c r="G11" s="9">
        <f>ROUND((E11+F11)/2,0)</f>
        <v>1250</v>
      </c>
      <c r="H11" s="12" t="s">
        <v>58</v>
      </c>
      <c r="I11" s="9">
        <f>E11</f>
        <v>1000</v>
      </c>
      <c r="J11" s="13" t="s">
        <v>33</v>
      </c>
      <c r="K11" s="14" t="s">
        <v>34</v>
      </c>
    </row>
    <row r="12" ht="24" customHeight="1" spans="1:11" x14ac:dyDescent="0.25">
      <c r="A12" s="11">
        <v>9</v>
      </c>
      <c r="B12" s="7" t="s">
        <v>12</v>
      </c>
      <c r="C12" s="7" t="s">
        <v>59</v>
      </c>
      <c r="D12" s="7" t="s">
        <v>60</v>
      </c>
      <c r="E12" s="9">
        <v>270</v>
      </c>
      <c r="F12" s="9">
        <v>2500</v>
      </c>
      <c r="G12" s="9">
        <f>ROUND((E12+F12)/2,0)</f>
        <v>1385</v>
      </c>
      <c r="H12" s="12" t="s">
        <v>61</v>
      </c>
      <c r="I12" s="9">
        <f>E12</f>
        <v>270</v>
      </c>
      <c r="J12" s="13" t="s">
        <v>33</v>
      </c>
      <c r="K12" s="14" t="s">
        <v>34</v>
      </c>
    </row>
    <row r="13" ht="24" customHeight="1" spans="1:11" x14ac:dyDescent="0.25">
      <c r="A13" s="11">
        <v>10</v>
      </c>
      <c r="B13" s="7" t="s">
        <v>12</v>
      </c>
      <c r="C13" s="7" t="s">
        <v>62</v>
      </c>
      <c r="D13" s="7" t="s">
        <v>36</v>
      </c>
      <c r="E13" s="15" t="s">
        <v>51</v>
      </c>
      <c r="F13" s="15" t="s">
        <v>51</v>
      </c>
      <c r="G13" s="15" t="s">
        <v>51</v>
      </c>
      <c r="H13" s="12" t="s">
        <v>55</v>
      </c>
      <c r="I13" s="15" t="s">
        <v>51</v>
      </c>
      <c r="J13" s="13" t="s">
        <v>33</v>
      </c>
      <c r="K13" s="14" t="s">
        <v>34</v>
      </c>
    </row>
    <row r="14" ht="24" customHeight="1" spans="1:11" x14ac:dyDescent="0.25">
      <c r="A14" s="11">
        <v>11</v>
      </c>
      <c r="B14" s="7" t="s">
        <v>12</v>
      </c>
      <c r="C14" s="7" t="s">
        <v>63</v>
      </c>
      <c r="D14" s="7" t="s">
        <v>36</v>
      </c>
      <c r="E14" s="15" t="s">
        <v>51</v>
      </c>
      <c r="F14" s="15" t="s">
        <v>51</v>
      </c>
      <c r="G14" s="15" t="s">
        <v>51</v>
      </c>
      <c r="H14" s="12" t="s">
        <v>55</v>
      </c>
      <c r="I14" s="15" t="s">
        <v>51</v>
      </c>
      <c r="J14" s="13" t="s">
        <v>33</v>
      </c>
      <c r="K14" s="14" t="s">
        <v>34</v>
      </c>
    </row>
    <row r="15" ht="24" customHeight="1" spans="1:11" x14ac:dyDescent="0.25">
      <c r="A15" s="11">
        <v>12</v>
      </c>
      <c r="B15" s="7" t="s">
        <v>12</v>
      </c>
      <c r="C15" s="7" t="s">
        <v>64</v>
      </c>
      <c r="D15" s="7" t="s">
        <v>60</v>
      </c>
      <c r="E15" s="15" t="s">
        <v>51</v>
      </c>
      <c r="F15" s="15" t="s">
        <v>51</v>
      </c>
      <c r="G15" s="15" t="s">
        <v>51</v>
      </c>
      <c r="H15" s="12" t="s">
        <v>65</v>
      </c>
      <c r="I15" s="15" t="s">
        <v>51</v>
      </c>
      <c r="J15" s="13" t="s">
        <v>33</v>
      </c>
      <c r="K15" s="14" t="s">
        <v>34</v>
      </c>
    </row>
    <row r="16" ht="24" customHeight="1" spans="1:11" x14ac:dyDescent="0.25">
      <c r="A16" s="11">
        <v>13</v>
      </c>
      <c r="B16" s="7" t="s">
        <v>12</v>
      </c>
      <c r="C16" s="7" t="s">
        <v>66</v>
      </c>
      <c r="D16" s="7" t="s">
        <v>60</v>
      </c>
      <c r="E16" s="15" t="s">
        <v>51</v>
      </c>
      <c r="F16" s="15" t="s">
        <v>51</v>
      </c>
      <c r="G16" s="15" t="s">
        <v>51</v>
      </c>
      <c r="H16" s="12" t="s">
        <v>65</v>
      </c>
      <c r="I16" s="15" t="s">
        <v>51</v>
      </c>
      <c r="J16" s="13" t="s">
        <v>33</v>
      </c>
      <c r="K16" s="14" t="s">
        <v>34</v>
      </c>
    </row>
    <row r="17" ht="24" customHeight="1" spans="1:11" x14ac:dyDescent="0.25">
      <c r="A17" s="11">
        <v>14</v>
      </c>
      <c r="B17" s="7" t="s">
        <v>12</v>
      </c>
      <c r="C17" s="7" t="s">
        <v>67</v>
      </c>
      <c r="D17" s="7" t="s">
        <v>68</v>
      </c>
      <c r="E17" s="9">
        <v>3500</v>
      </c>
      <c r="F17" s="9">
        <v>3500</v>
      </c>
      <c r="G17" s="9">
        <f>ROUND((E17+F17)/2,0)</f>
        <v>3500</v>
      </c>
      <c r="H17" s="12" t="s">
        <v>69</v>
      </c>
      <c r="I17" s="9">
        <f>E17</f>
        <v>3500</v>
      </c>
      <c r="J17" s="13" t="s">
        <v>33</v>
      </c>
      <c r="K17" s="14" t="s">
        <v>34</v>
      </c>
    </row>
    <row r="18" ht="24" customHeight="1" spans="1:11" x14ac:dyDescent="0.25">
      <c r="A18" s="11">
        <v>15</v>
      </c>
      <c r="B18" s="7" t="s">
        <v>12</v>
      </c>
      <c r="C18" s="7" t="s">
        <v>70</v>
      </c>
      <c r="D18" s="7" t="s">
        <v>60</v>
      </c>
      <c r="E18" s="15" t="s">
        <v>51</v>
      </c>
      <c r="F18" s="15" t="s">
        <v>51</v>
      </c>
      <c r="G18" s="15" t="s">
        <v>51</v>
      </c>
      <c r="H18" s="12" t="s">
        <v>55</v>
      </c>
      <c r="I18" s="15" t="s">
        <v>51</v>
      </c>
      <c r="J18" s="13" t="s">
        <v>33</v>
      </c>
      <c r="K18" s="14" t="s">
        <v>34</v>
      </c>
    </row>
    <row r="19" ht="24" customHeight="1" spans="1:11" x14ac:dyDescent="0.25">
      <c r="A19" s="11">
        <v>16</v>
      </c>
      <c r="B19" s="7" t="s">
        <v>12</v>
      </c>
      <c r="C19" s="7" t="s">
        <v>71</v>
      </c>
      <c r="D19" s="7" t="s">
        <v>60</v>
      </c>
      <c r="E19" s="15" t="s">
        <v>51</v>
      </c>
      <c r="F19" s="15" t="s">
        <v>51</v>
      </c>
      <c r="G19" s="15" t="s">
        <v>51</v>
      </c>
      <c r="H19" s="12" t="s">
        <v>72</v>
      </c>
      <c r="I19" s="15" t="s">
        <v>51</v>
      </c>
      <c r="J19" s="13" t="s">
        <v>33</v>
      </c>
      <c r="K19" s="14" t="s">
        <v>34</v>
      </c>
    </row>
    <row r="20" ht="24" customHeight="1" spans="1:11" x14ac:dyDescent="0.25">
      <c r="A20" s="11">
        <v>17</v>
      </c>
      <c r="B20" s="7" t="s">
        <v>12</v>
      </c>
      <c r="C20" s="7" t="s">
        <v>73</v>
      </c>
      <c r="D20" s="7" t="s">
        <v>74</v>
      </c>
      <c r="E20" s="9">
        <v>1800</v>
      </c>
      <c r="F20" s="9">
        <v>2500</v>
      </c>
      <c r="G20" s="9">
        <f>ROUND((E20+F20)/2,0)</f>
        <v>2150</v>
      </c>
      <c r="H20" s="12" t="s">
        <v>75</v>
      </c>
      <c r="I20" s="9">
        <f>E20</f>
        <v>1800</v>
      </c>
      <c r="J20" s="13" t="s">
        <v>33</v>
      </c>
      <c r="K20" s="14" t="s">
        <v>34</v>
      </c>
    </row>
    <row r="21" ht="24" customHeight="1" spans="1:11" x14ac:dyDescent="0.25">
      <c r="A21" s="11">
        <v>18</v>
      </c>
      <c r="B21" s="7" t="s">
        <v>12</v>
      </c>
      <c r="C21" s="7" t="s">
        <v>76</v>
      </c>
      <c r="D21" s="7" t="s">
        <v>36</v>
      </c>
      <c r="E21" s="15" t="s">
        <v>51</v>
      </c>
      <c r="F21" s="15" t="s">
        <v>51</v>
      </c>
      <c r="G21" s="15" t="s">
        <v>51</v>
      </c>
      <c r="H21" s="12" t="s">
        <v>77</v>
      </c>
      <c r="I21" s="15" t="s">
        <v>51</v>
      </c>
      <c r="J21" s="13" t="s">
        <v>33</v>
      </c>
      <c r="K21" s="14" t="s">
        <v>34</v>
      </c>
    </row>
    <row r="22" ht="24" customHeight="1" spans="1:11" x14ac:dyDescent="0.25">
      <c r="A22" s="11">
        <v>19</v>
      </c>
      <c r="B22" s="7" t="s">
        <v>12</v>
      </c>
      <c r="C22" s="7" t="s">
        <v>78</v>
      </c>
      <c r="D22" s="7" t="s">
        <v>79</v>
      </c>
      <c r="E22" s="15" t="s">
        <v>51</v>
      </c>
      <c r="F22" s="15" t="s">
        <v>51</v>
      </c>
      <c r="G22" s="15" t="s">
        <v>51</v>
      </c>
      <c r="H22" s="12" t="s">
        <v>80</v>
      </c>
      <c r="I22" s="15" t="s">
        <v>51</v>
      </c>
      <c r="J22" s="13" t="s">
        <v>33</v>
      </c>
      <c r="K22" s="14" t="s">
        <v>34</v>
      </c>
    </row>
    <row r="23" ht="24" customHeight="1" spans="1:11" x14ac:dyDescent="0.25">
      <c r="A23" s="11">
        <v>20</v>
      </c>
      <c r="B23" s="7" t="s">
        <v>12</v>
      </c>
      <c r="C23" s="7" t="s">
        <v>81</v>
      </c>
      <c r="D23" s="7" t="s">
        <v>82</v>
      </c>
      <c r="E23" s="15" t="s">
        <v>51</v>
      </c>
      <c r="F23" s="15" t="s">
        <v>51</v>
      </c>
      <c r="G23" s="15" t="s">
        <v>51</v>
      </c>
      <c r="H23" s="12" t="s">
        <v>83</v>
      </c>
      <c r="I23" s="15" t="s">
        <v>51</v>
      </c>
      <c r="J23" s="13" t="s">
        <v>33</v>
      </c>
      <c r="K23" s="14" t="s">
        <v>34</v>
      </c>
    </row>
    <row r="24" ht="24" customHeight="1" spans="1:11" x14ac:dyDescent="0.25">
      <c r="A24" s="11">
        <v>21</v>
      </c>
      <c r="B24" s="7" t="s">
        <v>12</v>
      </c>
      <c r="C24" s="7" t="s">
        <v>84</v>
      </c>
      <c r="D24" s="7" t="s">
        <v>85</v>
      </c>
      <c r="E24" s="15" t="s">
        <v>51</v>
      </c>
      <c r="F24" s="15" t="s">
        <v>51</v>
      </c>
      <c r="G24" s="15" t="s">
        <v>51</v>
      </c>
      <c r="H24" s="12" t="s">
        <v>86</v>
      </c>
      <c r="I24" s="15" t="s">
        <v>51</v>
      </c>
      <c r="J24" s="13" t="s">
        <v>33</v>
      </c>
      <c r="K24" s="14" t="s">
        <v>34</v>
      </c>
    </row>
    <row r="25" ht="24" customHeight="1" spans="1:11" x14ac:dyDescent="0.25">
      <c r="A25" s="11">
        <v>22</v>
      </c>
      <c r="B25" s="7" t="s">
        <v>12</v>
      </c>
      <c r="C25" s="7" t="s">
        <v>87</v>
      </c>
      <c r="D25" s="7" t="s">
        <v>88</v>
      </c>
      <c r="E25" s="9">
        <v>7500</v>
      </c>
      <c r="F25" s="9">
        <v>7500</v>
      </c>
      <c r="G25" s="9">
        <f>ROUND((E25+F25)/2,0)</f>
        <v>7500</v>
      </c>
      <c r="H25" s="12" t="s">
        <v>89</v>
      </c>
      <c r="I25" s="9">
        <f>E25</f>
        <v>7500</v>
      </c>
      <c r="J25" s="13" t="s">
        <v>33</v>
      </c>
      <c r="K25" s="14" t="s">
        <v>34</v>
      </c>
    </row>
    <row r="26" ht="24" customHeight="1" spans="1:11" x14ac:dyDescent="0.25">
      <c r="A26" s="11">
        <v>23</v>
      </c>
      <c r="B26" s="7" t="s">
        <v>12</v>
      </c>
      <c r="C26" s="7" t="s">
        <v>90</v>
      </c>
      <c r="D26" s="7" t="s">
        <v>36</v>
      </c>
      <c r="E26" s="15" t="s">
        <v>51</v>
      </c>
      <c r="F26" s="15" t="s">
        <v>51</v>
      </c>
      <c r="G26" s="15" t="s">
        <v>51</v>
      </c>
      <c r="H26" s="12" t="s">
        <v>55</v>
      </c>
      <c r="I26" s="15" t="s">
        <v>51</v>
      </c>
      <c r="J26" s="13" t="s">
        <v>33</v>
      </c>
      <c r="K26" s="14" t="s">
        <v>34</v>
      </c>
    </row>
    <row r="27" ht="24" customHeight="1" spans="1:11" x14ac:dyDescent="0.25">
      <c r="A27" s="11">
        <v>24</v>
      </c>
      <c r="B27" s="7" t="s">
        <v>12</v>
      </c>
      <c r="C27" s="7" t="s">
        <v>91</v>
      </c>
      <c r="D27" s="7" t="s">
        <v>92</v>
      </c>
      <c r="E27" s="9">
        <v>3800</v>
      </c>
      <c r="F27" s="9">
        <v>15000</v>
      </c>
      <c r="G27" s="9">
        <f>ROUND((E27+F27)/2,0)</f>
        <v>9400</v>
      </c>
      <c r="H27" s="12" t="s">
        <v>93</v>
      </c>
      <c r="I27" s="9">
        <f>E27</f>
        <v>3800</v>
      </c>
      <c r="J27" s="13" t="s">
        <v>33</v>
      </c>
      <c r="K27" s="14" t="s">
        <v>34</v>
      </c>
    </row>
    <row r="28" ht="24" customHeight="1" spans="1:11" x14ac:dyDescent="0.25">
      <c r="A28" s="11">
        <v>25</v>
      </c>
      <c r="B28" s="7" t="s">
        <v>12</v>
      </c>
      <c r="C28" s="7" t="s">
        <v>94</v>
      </c>
      <c r="D28" s="7" t="s">
        <v>95</v>
      </c>
      <c r="E28" s="9">
        <v>8000</v>
      </c>
      <c r="F28" s="9">
        <v>12000</v>
      </c>
      <c r="G28" s="9">
        <f>ROUND((E28+F28)/2,0)</f>
        <v>10000</v>
      </c>
      <c r="H28" s="12" t="s">
        <v>96</v>
      </c>
      <c r="I28" s="9">
        <f>E28</f>
        <v>8000</v>
      </c>
      <c r="J28" s="13" t="s">
        <v>33</v>
      </c>
      <c r="K28" s="14" t="s">
        <v>34</v>
      </c>
    </row>
    <row r="29" ht="24" customHeight="1" spans="1:11" x14ac:dyDescent="0.25">
      <c r="A29" s="11">
        <v>26</v>
      </c>
      <c r="B29" s="7" t="s">
        <v>12</v>
      </c>
      <c r="C29" s="7" t="s">
        <v>97</v>
      </c>
      <c r="D29" s="7" t="s">
        <v>60</v>
      </c>
      <c r="E29" s="9">
        <v>3000</v>
      </c>
      <c r="F29" s="9">
        <v>5310</v>
      </c>
      <c r="G29" s="9">
        <f>ROUND((E29+F29)/2,0)</f>
        <v>4155</v>
      </c>
      <c r="H29" s="12" t="s">
        <v>98</v>
      </c>
      <c r="I29" s="9">
        <f>E29</f>
        <v>3000</v>
      </c>
      <c r="J29" s="13" t="s">
        <v>33</v>
      </c>
      <c r="K29" s="14" t="s">
        <v>34</v>
      </c>
    </row>
    <row r="30" ht="24" customHeight="1" spans="1:11" x14ac:dyDescent="0.25">
      <c r="A30" s="11">
        <v>27</v>
      </c>
      <c r="B30" s="7" t="s">
        <v>12</v>
      </c>
      <c r="C30" s="7" t="s">
        <v>99</v>
      </c>
      <c r="D30" s="7" t="s">
        <v>60</v>
      </c>
      <c r="E30" s="9">
        <v>2222</v>
      </c>
      <c r="F30" s="9">
        <v>5600</v>
      </c>
      <c r="G30" s="9">
        <f>ROUND((E30+F30)/2,0)</f>
        <v>3911</v>
      </c>
      <c r="H30" s="12" t="s">
        <v>100</v>
      </c>
      <c r="I30" s="9">
        <f>E30</f>
        <v>2222</v>
      </c>
      <c r="J30" s="13" t="s">
        <v>33</v>
      </c>
      <c r="K30" s="14" t="s">
        <v>34</v>
      </c>
    </row>
    <row r="31" ht="24" customHeight="1" spans="1:11" x14ac:dyDescent="0.25">
      <c r="A31" s="11">
        <v>28</v>
      </c>
      <c r="B31" s="7" t="s">
        <v>12</v>
      </c>
      <c r="C31" s="7" t="s">
        <v>101</v>
      </c>
      <c r="D31" s="7" t="s">
        <v>36</v>
      </c>
      <c r="E31" s="15" t="s">
        <v>51</v>
      </c>
      <c r="F31" s="15" t="s">
        <v>51</v>
      </c>
      <c r="G31" s="15" t="s">
        <v>51</v>
      </c>
      <c r="H31" s="12" t="s">
        <v>102</v>
      </c>
      <c r="I31" s="15" t="s">
        <v>51</v>
      </c>
      <c r="J31" s="13" t="s">
        <v>33</v>
      </c>
      <c r="K31" s="14" t="s">
        <v>34</v>
      </c>
    </row>
    <row r="32" ht="24" customHeight="1" spans="1:11" x14ac:dyDescent="0.25">
      <c r="A32" s="11">
        <v>29</v>
      </c>
      <c r="B32" s="7" t="s">
        <v>13</v>
      </c>
      <c r="C32" s="7" t="s">
        <v>103</v>
      </c>
      <c r="D32" s="7" t="s">
        <v>104</v>
      </c>
      <c r="E32" s="9">
        <v>80000</v>
      </c>
      <c r="F32" s="9">
        <v>110000</v>
      </c>
      <c r="G32" s="9">
        <f>ROUND((E32+F32)/2,0)</f>
        <v>95000</v>
      </c>
      <c r="H32" s="12" t="s">
        <v>105</v>
      </c>
      <c r="I32" s="9">
        <f>E32</f>
        <v>80000</v>
      </c>
      <c r="J32" s="13" t="s">
        <v>33</v>
      </c>
      <c r="K32" s="14" t="s">
        <v>34</v>
      </c>
    </row>
    <row r="33" ht="24" customHeight="1" spans="1:11" x14ac:dyDescent="0.25">
      <c r="A33" s="11">
        <v>30</v>
      </c>
      <c r="B33" s="7" t="s">
        <v>13</v>
      </c>
      <c r="C33" s="7" t="s">
        <v>106</v>
      </c>
      <c r="D33" s="7" t="s">
        <v>107</v>
      </c>
      <c r="E33" s="9">
        <v>50000</v>
      </c>
      <c r="F33" s="9">
        <v>50000</v>
      </c>
      <c r="G33" s="9">
        <f>ROUND((E33+F33)/2,0)</f>
        <v>50000</v>
      </c>
      <c r="H33" s="12" t="s">
        <v>108</v>
      </c>
      <c r="I33" s="9">
        <f>E33</f>
        <v>50000</v>
      </c>
      <c r="J33" s="13" t="s">
        <v>33</v>
      </c>
      <c r="K33" s="14" t="s">
        <v>34</v>
      </c>
    </row>
    <row r="34" ht="24" customHeight="1" spans="1:11" x14ac:dyDescent="0.25">
      <c r="A34" s="11">
        <v>31</v>
      </c>
      <c r="B34" s="7" t="s">
        <v>13</v>
      </c>
      <c r="C34" s="7" t="s">
        <v>109</v>
      </c>
      <c r="D34" s="7" t="s">
        <v>60</v>
      </c>
      <c r="E34" s="9">
        <v>3900</v>
      </c>
      <c r="F34" s="9">
        <v>9465</v>
      </c>
      <c r="G34" s="9">
        <f>ROUND((E34+F34)/2,0)</f>
        <v>6683</v>
      </c>
      <c r="H34" s="12" t="s">
        <v>110</v>
      </c>
      <c r="I34" s="9">
        <f>E34</f>
        <v>3900</v>
      </c>
      <c r="J34" s="13" t="s">
        <v>33</v>
      </c>
      <c r="K34" s="14" t="s">
        <v>34</v>
      </c>
    </row>
    <row r="35" ht="24" customHeight="1" spans="1:11" x14ac:dyDescent="0.25">
      <c r="A35" s="11">
        <v>32</v>
      </c>
      <c r="B35" s="7" t="s">
        <v>13</v>
      </c>
      <c r="C35" s="7" t="s">
        <v>111</v>
      </c>
      <c r="D35" s="7" t="s">
        <v>112</v>
      </c>
      <c r="E35" s="15" t="s">
        <v>51</v>
      </c>
      <c r="F35" s="15" t="s">
        <v>51</v>
      </c>
      <c r="G35" s="15" t="s">
        <v>51</v>
      </c>
      <c r="H35" s="12" t="s">
        <v>113</v>
      </c>
      <c r="I35" s="15" t="s">
        <v>51</v>
      </c>
      <c r="J35" s="13" t="s">
        <v>33</v>
      </c>
      <c r="K35" s="14" t="s">
        <v>34</v>
      </c>
    </row>
    <row r="36" ht="24" customHeight="1" spans="1:11" x14ac:dyDescent="0.25">
      <c r="A36" s="11">
        <v>33</v>
      </c>
      <c r="B36" s="7" t="s">
        <v>13</v>
      </c>
      <c r="C36" s="7" t="s">
        <v>114</v>
      </c>
      <c r="D36" s="7" t="s">
        <v>60</v>
      </c>
      <c r="E36" s="15" t="s">
        <v>51</v>
      </c>
      <c r="F36" s="15" t="s">
        <v>51</v>
      </c>
      <c r="G36" s="15" t="s">
        <v>51</v>
      </c>
      <c r="H36" s="12" t="s">
        <v>55</v>
      </c>
      <c r="I36" s="15" t="s">
        <v>51</v>
      </c>
      <c r="J36" s="13" t="s">
        <v>33</v>
      </c>
      <c r="K36" s="14" t="s">
        <v>34</v>
      </c>
    </row>
    <row r="37" ht="24" customHeight="1" spans="1:11" x14ac:dyDescent="0.25">
      <c r="A37" s="11">
        <v>34</v>
      </c>
      <c r="B37" s="7" t="s">
        <v>13</v>
      </c>
      <c r="C37" s="7" t="s">
        <v>115</v>
      </c>
      <c r="D37" s="7"/>
      <c r="E37" s="15" t="s">
        <v>51</v>
      </c>
      <c r="F37" s="15" t="s">
        <v>51</v>
      </c>
      <c r="G37" s="15" t="s">
        <v>51</v>
      </c>
      <c r="H37" s="12" t="s">
        <v>116</v>
      </c>
      <c r="I37" s="15" t="s">
        <v>51</v>
      </c>
      <c r="J37" s="13" t="s">
        <v>33</v>
      </c>
      <c r="K37" s="14" t="s">
        <v>34</v>
      </c>
    </row>
    <row r="38" ht="24" customHeight="1" spans="1:11" x14ac:dyDescent="0.25">
      <c r="A38" s="11">
        <v>35</v>
      </c>
      <c r="B38" s="7" t="s">
        <v>14</v>
      </c>
      <c r="C38" s="7" t="s">
        <v>117</v>
      </c>
      <c r="D38" s="7" t="s">
        <v>118</v>
      </c>
      <c r="E38" s="15" t="s">
        <v>51</v>
      </c>
      <c r="F38" s="15" t="s">
        <v>51</v>
      </c>
      <c r="G38" s="15" t="s">
        <v>51</v>
      </c>
      <c r="H38" s="12" t="s">
        <v>119</v>
      </c>
      <c r="I38" s="15" t="s">
        <v>51</v>
      </c>
      <c r="J38" s="13" t="s">
        <v>33</v>
      </c>
      <c r="K38" s="14" t="s">
        <v>34</v>
      </c>
    </row>
    <row r="39" ht="24" customHeight="1" spans="1:11" x14ac:dyDescent="0.25">
      <c r="A39" s="11">
        <v>36</v>
      </c>
      <c r="B39" s="7" t="s">
        <v>14</v>
      </c>
      <c r="C39" s="7" t="s">
        <v>120</v>
      </c>
      <c r="D39" s="7" t="s">
        <v>121</v>
      </c>
      <c r="E39" s="15" t="s">
        <v>51</v>
      </c>
      <c r="F39" s="15" t="s">
        <v>51</v>
      </c>
      <c r="G39" s="15" t="s">
        <v>51</v>
      </c>
      <c r="H39" s="12" t="s">
        <v>122</v>
      </c>
      <c r="I39" s="15" t="s">
        <v>51</v>
      </c>
      <c r="J39" s="13" t="s">
        <v>33</v>
      </c>
      <c r="K39" s="14" t="s">
        <v>34</v>
      </c>
    </row>
    <row r="40" ht="24" customHeight="1" spans="1:11" x14ac:dyDescent="0.25">
      <c r="A40" s="11">
        <v>37</v>
      </c>
      <c r="B40" s="7" t="s">
        <v>14</v>
      </c>
      <c r="C40" s="7" t="s">
        <v>123</v>
      </c>
      <c r="D40" s="7" t="s">
        <v>60</v>
      </c>
      <c r="E40" s="9">
        <v>1500</v>
      </c>
      <c r="F40" s="9">
        <v>4000</v>
      </c>
      <c r="G40" s="9">
        <f>ROUND((E40+F40)/2,0)</f>
        <v>2750</v>
      </c>
      <c r="H40" s="12" t="s">
        <v>124</v>
      </c>
      <c r="I40" s="9">
        <f>E40</f>
        <v>1500</v>
      </c>
      <c r="J40" s="13" t="s">
        <v>33</v>
      </c>
      <c r="K40" s="14" t="s">
        <v>34</v>
      </c>
    </row>
    <row r="41" ht="24" customHeight="1" spans="1:11" x14ac:dyDescent="0.25">
      <c r="A41" s="11">
        <v>38</v>
      </c>
      <c r="B41" s="7" t="s">
        <v>14</v>
      </c>
      <c r="C41" s="7" t="s">
        <v>125</v>
      </c>
      <c r="D41" s="7" t="s">
        <v>126</v>
      </c>
      <c r="E41" s="15" t="s">
        <v>51</v>
      </c>
      <c r="F41" s="15" t="s">
        <v>51</v>
      </c>
      <c r="G41" s="15" t="s">
        <v>51</v>
      </c>
      <c r="H41" s="12" t="s">
        <v>55</v>
      </c>
      <c r="I41" s="15" t="s">
        <v>51</v>
      </c>
      <c r="J41" s="13" t="s">
        <v>33</v>
      </c>
      <c r="K41" s="14" t="s">
        <v>34</v>
      </c>
    </row>
    <row r="42" ht="24" customHeight="1" spans="1:11" x14ac:dyDescent="0.25">
      <c r="A42" s="11">
        <v>39</v>
      </c>
      <c r="B42" s="7" t="s">
        <v>14</v>
      </c>
      <c r="C42" s="7" t="s">
        <v>127</v>
      </c>
      <c r="D42" s="7" t="s">
        <v>60</v>
      </c>
      <c r="E42" s="15" t="s">
        <v>51</v>
      </c>
      <c r="F42" s="15" t="s">
        <v>51</v>
      </c>
      <c r="G42" s="15" t="s">
        <v>51</v>
      </c>
      <c r="H42" s="12" t="s">
        <v>128</v>
      </c>
      <c r="I42" s="15" t="s">
        <v>51</v>
      </c>
      <c r="J42" s="13" t="s">
        <v>33</v>
      </c>
      <c r="K42" s="14" t="s">
        <v>34</v>
      </c>
    </row>
    <row r="43" ht="24" customHeight="1" spans="1:11" x14ac:dyDescent="0.25">
      <c r="A43" s="11">
        <v>40</v>
      </c>
      <c r="B43" s="7" t="s">
        <v>14</v>
      </c>
      <c r="C43" s="7" t="s">
        <v>129</v>
      </c>
      <c r="D43" s="7" t="s">
        <v>60</v>
      </c>
      <c r="E43" s="15" t="s">
        <v>51</v>
      </c>
      <c r="F43" s="15" t="s">
        <v>51</v>
      </c>
      <c r="G43" s="15" t="s">
        <v>51</v>
      </c>
      <c r="H43" s="12" t="s">
        <v>130</v>
      </c>
      <c r="I43" s="15" t="s">
        <v>51</v>
      </c>
      <c r="J43" s="13" t="s">
        <v>33</v>
      </c>
      <c r="K43" s="14" t="s">
        <v>34</v>
      </c>
    </row>
    <row r="44" ht="24" customHeight="1" spans="1:11" x14ac:dyDescent="0.25">
      <c r="A44" s="11">
        <v>41</v>
      </c>
      <c r="B44" s="7" t="s">
        <v>14</v>
      </c>
      <c r="C44" s="7" t="s">
        <v>131</v>
      </c>
      <c r="D44" s="7" t="s">
        <v>60</v>
      </c>
      <c r="E44" s="15" t="s">
        <v>51</v>
      </c>
      <c r="F44" s="15" t="s">
        <v>51</v>
      </c>
      <c r="G44" s="15" t="s">
        <v>51</v>
      </c>
      <c r="H44" s="12" t="s">
        <v>128</v>
      </c>
      <c r="I44" s="15" t="s">
        <v>51</v>
      </c>
      <c r="J44" s="13" t="s">
        <v>33</v>
      </c>
      <c r="K44" s="14" t="s">
        <v>34</v>
      </c>
    </row>
    <row r="45" ht="24" customHeight="1" spans="1:11" x14ac:dyDescent="0.25">
      <c r="A45" s="11">
        <v>42</v>
      </c>
      <c r="B45" s="7" t="s">
        <v>14</v>
      </c>
      <c r="C45" s="7" t="s">
        <v>132</v>
      </c>
      <c r="D45" s="7" t="s">
        <v>133</v>
      </c>
      <c r="E45" s="15" t="s">
        <v>51</v>
      </c>
      <c r="F45" s="15" t="s">
        <v>51</v>
      </c>
      <c r="G45" s="15" t="s">
        <v>51</v>
      </c>
      <c r="H45" s="12" t="s">
        <v>134</v>
      </c>
      <c r="I45" s="15" t="s">
        <v>51</v>
      </c>
      <c r="J45" s="13" t="s">
        <v>33</v>
      </c>
      <c r="K45" s="14" t="s">
        <v>34</v>
      </c>
    </row>
    <row r="46" ht="24" customHeight="1" spans="1:11" x14ac:dyDescent="0.25">
      <c r="A46" s="11">
        <v>43</v>
      </c>
      <c r="B46" s="7" t="s">
        <v>14</v>
      </c>
      <c r="C46" s="7" t="s">
        <v>135</v>
      </c>
      <c r="D46" s="7" t="s">
        <v>136</v>
      </c>
      <c r="E46" s="9">
        <v>31000</v>
      </c>
      <c r="F46" s="9">
        <v>31000</v>
      </c>
      <c r="G46" s="9">
        <f>ROUND((E46+F46)/2,0)</f>
        <v>31000</v>
      </c>
      <c r="H46" s="12" t="s">
        <v>137</v>
      </c>
      <c r="I46" s="9">
        <f>E46</f>
        <v>31000</v>
      </c>
      <c r="J46" s="13" t="s">
        <v>33</v>
      </c>
      <c r="K46" s="14" t="s">
        <v>34</v>
      </c>
    </row>
    <row r="47" ht="24" customHeight="1" spans="1:11" x14ac:dyDescent="0.25">
      <c r="A47" s="11">
        <v>44</v>
      </c>
      <c r="B47" s="7" t="s">
        <v>14</v>
      </c>
      <c r="C47" s="7" t="s">
        <v>138</v>
      </c>
      <c r="D47" s="7" t="s">
        <v>60</v>
      </c>
      <c r="E47" s="15" t="s">
        <v>51</v>
      </c>
      <c r="F47" s="15" t="s">
        <v>51</v>
      </c>
      <c r="G47" s="15" t="s">
        <v>51</v>
      </c>
      <c r="H47" s="12" t="s">
        <v>128</v>
      </c>
      <c r="I47" s="15" t="s">
        <v>51</v>
      </c>
      <c r="J47" s="13" t="s">
        <v>33</v>
      </c>
      <c r="K47" s="14" t="s">
        <v>34</v>
      </c>
    </row>
    <row r="48" ht="24" customHeight="1" spans="1:11" x14ac:dyDescent="0.25">
      <c r="A48" s="11">
        <v>45</v>
      </c>
      <c r="B48" s="7" t="s">
        <v>14</v>
      </c>
      <c r="C48" s="7" t="s">
        <v>139</v>
      </c>
      <c r="D48" s="7" t="s">
        <v>140</v>
      </c>
      <c r="E48" s="15" t="s">
        <v>51</v>
      </c>
      <c r="F48" s="15" t="s">
        <v>51</v>
      </c>
      <c r="G48" s="15" t="s">
        <v>51</v>
      </c>
      <c r="H48" s="12" t="s">
        <v>55</v>
      </c>
      <c r="I48" s="15" t="s">
        <v>51</v>
      </c>
      <c r="J48" s="13" t="s">
        <v>33</v>
      </c>
      <c r="K48" s="14" t="s">
        <v>34</v>
      </c>
    </row>
    <row r="49" ht="24" customHeight="1" spans="1:11" x14ac:dyDescent="0.25">
      <c r="A49" s="11">
        <v>46</v>
      </c>
      <c r="B49" s="7" t="s">
        <v>14</v>
      </c>
      <c r="C49" s="7" t="s">
        <v>141</v>
      </c>
      <c r="D49" s="7" t="s">
        <v>142</v>
      </c>
      <c r="E49" s="15" t="s">
        <v>51</v>
      </c>
      <c r="F49" s="15" t="s">
        <v>51</v>
      </c>
      <c r="G49" s="15" t="s">
        <v>51</v>
      </c>
      <c r="H49" s="12" t="s">
        <v>55</v>
      </c>
      <c r="I49" s="15" t="s">
        <v>51</v>
      </c>
      <c r="J49" s="13" t="s">
        <v>33</v>
      </c>
      <c r="K49" s="14" t="s">
        <v>34</v>
      </c>
    </row>
    <row r="50" ht="24" customHeight="1" spans="1:11" x14ac:dyDescent="0.25">
      <c r="A50" s="11">
        <v>47</v>
      </c>
      <c r="B50" s="7" t="s">
        <v>15</v>
      </c>
      <c r="C50" s="7" t="s">
        <v>143</v>
      </c>
      <c r="D50" s="7" t="s">
        <v>144</v>
      </c>
      <c r="E50" s="9">
        <v>950</v>
      </c>
      <c r="F50" s="9">
        <v>3600</v>
      </c>
      <c r="G50" s="9">
        <f>ROUND((E50+F50)/2,0)</f>
        <v>2275</v>
      </c>
      <c r="H50" s="12" t="s">
        <v>145</v>
      </c>
      <c r="I50" s="9">
        <f>E50</f>
        <v>950</v>
      </c>
      <c r="J50" s="13" t="s">
        <v>33</v>
      </c>
      <c r="K50" s="14" t="s">
        <v>34</v>
      </c>
    </row>
    <row r="51" ht="24" customHeight="1" spans="1:11" x14ac:dyDescent="0.25">
      <c r="A51" s="11">
        <v>48</v>
      </c>
      <c r="B51" s="7" t="s">
        <v>15</v>
      </c>
      <c r="C51" s="7" t="s">
        <v>146</v>
      </c>
      <c r="D51" s="7" t="s">
        <v>60</v>
      </c>
      <c r="E51" s="9">
        <v>1500</v>
      </c>
      <c r="F51" s="9">
        <v>8200</v>
      </c>
      <c r="G51" s="9">
        <f>ROUND((E51+F51)/2,0)</f>
        <v>4850</v>
      </c>
      <c r="H51" s="12" t="s">
        <v>147</v>
      </c>
      <c r="I51" s="9">
        <f>E51</f>
        <v>1500</v>
      </c>
      <c r="J51" s="13" t="s">
        <v>33</v>
      </c>
      <c r="K51" s="14" t="s">
        <v>34</v>
      </c>
    </row>
    <row r="52" ht="24" customHeight="1" spans="1:11" x14ac:dyDescent="0.25">
      <c r="A52" s="11">
        <v>49</v>
      </c>
      <c r="B52" s="7" t="s">
        <v>15</v>
      </c>
      <c r="C52" s="7" t="s">
        <v>148</v>
      </c>
      <c r="D52" s="7" t="s">
        <v>60</v>
      </c>
      <c r="E52" s="15" t="s">
        <v>51</v>
      </c>
      <c r="F52" s="15" t="s">
        <v>51</v>
      </c>
      <c r="G52" s="15" t="s">
        <v>51</v>
      </c>
      <c r="H52" s="12" t="s">
        <v>128</v>
      </c>
      <c r="I52" s="15" t="s">
        <v>51</v>
      </c>
      <c r="J52" s="13" t="s">
        <v>33</v>
      </c>
      <c r="K52" s="14" t="s">
        <v>34</v>
      </c>
    </row>
    <row r="53" ht="24" customHeight="1" spans="1:11" x14ac:dyDescent="0.25">
      <c r="A53" s="11">
        <v>50</v>
      </c>
      <c r="B53" s="7" t="s">
        <v>15</v>
      </c>
      <c r="C53" s="7" t="s">
        <v>149</v>
      </c>
      <c r="D53" s="7" t="s">
        <v>60</v>
      </c>
      <c r="E53" s="15" t="s">
        <v>51</v>
      </c>
      <c r="F53" s="15" t="s">
        <v>51</v>
      </c>
      <c r="G53" s="15" t="s">
        <v>51</v>
      </c>
      <c r="H53" s="12" t="s">
        <v>55</v>
      </c>
      <c r="I53" s="15" t="s">
        <v>51</v>
      </c>
      <c r="J53" s="13" t="s">
        <v>33</v>
      </c>
      <c r="K53" s="14" t="s">
        <v>34</v>
      </c>
    </row>
    <row r="54" ht="24" customHeight="1" spans="1:11" x14ac:dyDescent="0.25">
      <c r="A54" s="11">
        <v>51</v>
      </c>
      <c r="B54" s="7" t="s">
        <v>15</v>
      </c>
      <c r="C54" s="7" t="s">
        <v>150</v>
      </c>
      <c r="D54" s="7" t="s">
        <v>151</v>
      </c>
      <c r="E54" s="9">
        <v>2750</v>
      </c>
      <c r="F54" s="9">
        <v>8500</v>
      </c>
      <c r="G54" s="9">
        <f>ROUND((E54+F54)/2,0)</f>
        <v>5625</v>
      </c>
      <c r="H54" s="12" t="s">
        <v>152</v>
      </c>
      <c r="I54" s="9">
        <f>E54</f>
        <v>2750</v>
      </c>
      <c r="J54" s="13" t="s">
        <v>33</v>
      </c>
      <c r="K54" s="14" t="s">
        <v>34</v>
      </c>
    </row>
    <row r="55" ht="24" customHeight="1" spans="1:11" x14ac:dyDescent="0.25">
      <c r="A55" s="11">
        <v>52</v>
      </c>
      <c r="B55" s="7" t="s">
        <v>15</v>
      </c>
      <c r="C55" s="7" t="s">
        <v>153</v>
      </c>
      <c r="D55" s="7" t="s">
        <v>60</v>
      </c>
      <c r="E55" s="15" t="s">
        <v>51</v>
      </c>
      <c r="F55" s="15" t="s">
        <v>51</v>
      </c>
      <c r="G55" s="15" t="s">
        <v>51</v>
      </c>
      <c r="H55" s="12" t="s">
        <v>72</v>
      </c>
      <c r="I55" s="15" t="s">
        <v>51</v>
      </c>
      <c r="J55" s="13" t="s">
        <v>33</v>
      </c>
      <c r="K55" s="14" t="s">
        <v>34</v>
      </c>
    </row>
    <row r="56" ht="24" customHeight="1" spans="1:11" x14ac:dyDescent="0.25">
      <c r="A56" s="11">
        <v>53</v>
      </c>
      <c r="B56" s="7" t="s">
        <v>16</v>
      </c>
      <c r="C56" s="7" t="s">
        <v>154</v>
      </c>
      <c r="D56" s="7" t="s">
        <v>155</v>
      </c>
      <c r="E56" s="9">
        <v>7000</v>
      </c>
      <c r="F56" s="9">
        <v>15000</v>
      </c>
      <c r="G56" s="9">
        <f>ROUND((E56+F56)/2,0)</f>
        <v>11000</v>
      </c>
      <c r="H56" s="12" t="s">
        <v>156</v>
      </c>
      <c r="I56" s="9">
        <f>E56</f>
        <v>7000</v>
      </c>
      <c r="J56" s="13" t="s">
        <v>33</v>
      </c>
      <c r="K56" s="14" t="s">
        <v>34</v>
      </c>
    </row>
    <row r="57" ht="24" customHeight="1" spans="1:11" x14ac:dyDescent="0.25">
      <c r="A57" s="11">
        <v>54</v>
      </c>
      <c r="B57" s="7" t="s">
        <v>16</v>
      </c>
      <c r="C57" s="7" t="s">
        <v>157</v>
      </c>
      <c r="D57" s="7" t="s">
        <v>158</v>
      </c>
      <c r="E57" s="9">
        <v>5000</v>
      </c>
      <c r="F57" s="9">
        <v>9990</v>
      </c>
      <c r="G57" s="9">
        <f>ROUND((E57+F57)/2,0)</f>
        <v>7495</v>
      </c>
      <c r="H57" s="12" t="s">
        <v>159</v>
      </c>
      <c r="I57" s="9">
        <f>E57</f>
        <v>5000</v>
      </c>
      <c r="J57" s="13" t="s">
        <v>33</v>
      </c>
      <c r="K57" s="14" t="s">
        <v>34</v>
      </c>
    </row>
    <row r="58" ht="24" customHeight="1" spans="1:11" x14ac:dyDescent="0.25">
      <c r="A58" s="11">
        <v>55</v>
      </c>
      <c r="B58" s="7" t="s">
        <v>16</v>
      </c>
      <c r="C58" s="7" t="s">
        <v>160</v>
      </c>
      <c r="D58" s="7" t="s">
        <v>60</v>
      </c>
      <c r="E58" s="9">
        <v>2000</v>
      </c>
      <c r="F58" s="9">
        <v>25000</v>
      </c>
      <c r="G58" s="9">
        <f>ROUND((E58+F58)/2,0)</f>
        <v>13500</v>
      </c>
      <c r="H58" s="12" t="s">
        <v>161</v>
      </c>
      <c r="I58" s="9">
        <f>E58</f>
        <v>2000</v>
      </c>
      <c r="J58" s="13" t="s">
        <v>33</v>
      </c>
      <c r="K58" s="14" t="s">
        <v>34</v>
      </c>
    </row>
    <row r="59" ht="24" customHeight="1" spans="1:11" x14ac:dyDescent="0.25">
      <c r="A59" s="11">
        <v>56</v>
      </c>
      <c r="B59" s="7" t="s">
        <v>16</v>
      </c>
      <c r="C59" s="7" t="s">
        <v>162</v>
      </c>
      <c r="D59" s="7" t="s">
        <v>60</v>
      </c>
      <c r="E59" s="9">
        <v>2000</v>
      </c>
      <c r="F59" s="9">
        <v>24000</v>
      </c>
      <c r="G59" s="9">
        <f>ROUND((E59+F59)/2,0)</f>
        <v>13000</v>
      </c>
      <c r="H59" s="12" t="s">
        <v>163</v>
      </c>
      <c r="I59" s="9">
        <f>E59</f>
        <v>2000</v>
      </c>
      <c r="J59" s="13" t="s">
        <v>33</v>
      </c>
      <c r="K59" s="14" t="s">
        <v>34</v>
      </c>
    </row>
    <row r="60" ht="24" customHeight="1" spans="1:11" x14ac:dyDescent="0.25">
      <c r="A60" s="11">
        <v>57</v>
      </c>
      <c r="B60" s="7" t="s">
        <v>16</v>
      </c>
      <c r="C60" s="7" t="s">
        <v>164</v>
      </c>
      <c r="D60" s="7" t="s">
        <v>165</v>
      </c>
      <c r="E60" s="9">
        <v>4000</v>
      </c>
      <c r="F60" s="9">
        <v>12500</v>
      </c>
      <c r="G60" s="9">
        <f>ROUND((E60+F60)/2,0)</f>
        <v>8250</v>
      </c>
      <c r="H60" s="12" t="s">
        <v>166</v>
      </c>
      <c r="I60" s="9">
        <f>E60</f>
        <v>4000</v>
      </c>
      <c r="J60" s="13" t="s">
        <v>33</v>
      </c>
      <c r="K60" s="14" t="s">
        <v>34</v>
      </c>
    </row>
    <row r="61" ht="24" customHeight="1" spans="1:11" x14ac:dyDescent="0.25">
      <c r="A61" s="11">
        <v>58</v>
      </c>
      <c r="B61" s="7" t="s">
        <v>16</v>
      </c>
      <c r="C61" s="7" t="s">
        <v>167</v>
      </c>
      <c r="D61" s="7" t="s">
        <v>155</v>
      </c>
      <c r="E61" s="9">
        <v>5000</v>
      </c>
      <c r="F61" s="9">
        <v>25500</v>
      </c>
      <c r="G61" s="9">
        <f>ROUND((E61+F61)/2,0)</f>
        <v>15250</v>
      </c>
      <c r="H61" s="12" t="s">
        <v>168</v>
      </c>
      <c r="I61" s="9">
        <f>E61</f>
        <v>5000</v>
      </c>
      <c r="J61" s="13" t="s">
        <v>33</v>
      </c>
      <c r="K61" s="14" t="s">
        <v>34</v>
      </c>
    </row>
    <row r="62" ht="24" customHeight="1" spans="1:11" x14ac:dyDescent="0.25">
      <c r="A62" s="11">
        <v>59</v>
      </c>
      <c r="B62" s="7" t="s">
        <v>16</v>
      </c>
      <c r="C62" s="7" t="s">
        <v>169</v>
      </c>
      <c r="D62" s="7" t="s">
        <v>60</v>
      </c>
      <c r="E62" s="9">
        <v>11000</v>
      </c>
      <c r="F62" s="9">
        <v>65000</v>
      </c>
      <c r="G62" s="9">
        <f>ROUND((E62+F62)/2,0)</f>
        <v>38000</v>
      </c>
      <c r="H62" s="12" t="s">
        <v>170</v>
      </c>
      <c r="I62" s="9">
        <f>E62</f>
        <v>11000</v>
      </c>
      <c r="J62" s="13" t="s">
        <v>33</v>
      </c>
      <c r="K62" s="14" t="s">
        <v>34</v>
      </c>
    </row>
    <row r="63" ht="24" customHeight="1" spans="1:11" x14ac:dyDescent="0.25">
      <c r="A63" s="11">
        <v>60</v>
      </c>
      <c r="B63" s="7" t="s">
        <v>16</v>
      </c>
      <c r="C63" s="7" t="s">
        <v>171</v>
      </c>
      <c r="D63" s="7" t="s">
        <v>60</v>
      </c>
      <c r="E63" s="9">
        <v>39990</v>
      </c>
      <c r="F63" s="9">
        <v>40000</v>
      </c>
      <c r="G63" s="9">
        <f>ROUND((E63+F63)/2,0)</f>
        <v>39995</v>
      </c>
      <c r="H63" s="12" t="s">
        <v>172</v>
      </c>
      <c r="I63" s="9">
        <f>E63</f>
        <v>39990</v>
      </c>
      <c r="J63" s="13" t="s">
        <v>33</v>
      </c>
      <c r="K63" s="14" t="s">
        <v>34</v>
      </c>
    </row>
    <row r="64" ht="24" customHeight="1" spans="1:11" x14ac:dyDescent="0.25">
      <c r="A64" s="11">
        <v>61</v>
      </c>
      <c r="B64" s="7" t="s">
        <v>16</v>
      </c>
      <c r="C64" s="7" t="s">
        <v>173</v>
      </c>
      <c r="D64" s="7" t="s">
        <v>60</v>
      </c>
      <c r="E64" s="9">
        <v>2000</v>
      </c>
      <c r="F64" s="9">
        <v>15500</v>
      </c>
      <c r="G64" s="9">
        <f>ROUND((E64+F64)/2,0)</f>
        <v>8750</v>
      </c>
      <c r="H64" s="12" t="s">
        <v>174</v>
      </c>
      <c r="I64" s="9">
        <f>E64</f>
        <v>2000</v>
      </c>
      <c r="J64" s="13" t="s">
        <v>33</v>
      </c>
      <c r="K64" s="14" t="s">
        <v>34</v>
      </c>
    </row>
    <row r="65" ht="24" customHeight="1" spans="1:11" x14ac:dyDescent="0.25">
      <c r="A65" s="11">
        <v>62</v>
      </c>
      <c r="B65" s="7" t="s">
        <v>16</v>
      </c>
      <c r="C65" s="7" t="s">
        <v>175</v>
      </c>
      <c r="D65" s="7" t="s">
        <v>60</v>
      </c>
      <c r="E65" s="9">
        <v>2000</v>
      </c>
      <c r="F65" s="9">
        <v>2000</v>
      </c>
      <c r="G65" s="9">
        <f>ROUND((E65+F65)/2,0)</f>
        <v>2000</v>
      </c>
      <c r="H65" s="12" t="s">
        <v>176</v>
      </c>
      <c r="I65" s="9">
        <f>E65</f>
        <v>2000</v>
      </c>
      <c r="J65" s="13" t="s">
        <v>33</v>
      </c>
      <c r="K65" s="14" t="s">
        <v>34</v>
      </c>
    </row>
    <row r="66" ht="24" customHeight="1" spans="1:11" x14ac:dyDescent="0.25">
      <c r="A66" s="11">
        <v>63</v>
      </c>
      <c r="B66" s="7" t="s">
        <v>16</v>
      </c>
      <c r="C66" s="7" t="s">
        <v>177</v>
      </c>
      <c r="D66" s="7" t="s">
        <v>165</v>
      </c>
      <c r="E66" s="9">
        <v>1000</v>
      </c>
      <c r="F66" s="9">
        <v>10500</v>
      </c>
      <c r="G66" s="9">
        <f>ROUND((E66+F66)/2,0)</f>
        <v>5750</v>
      </c>
      <c r="H66" s="12" t="s">
        <v>178</v>
      </c>
      <c r="I66" s="9">
        <f>E66</f>
        <v>1000</v>
      </c>
      <c r="J66" s="13" t="s">
        <v>33</v>
      </c>
      <c r="K66" s="14" t="s">
        <v>34</v>
      </c>
    </row>
    <row r="67" ht="24" customHeight="1" spans="1:11" x14ac:dyDescent="0.25">
      <c r="A67" s="11">
        <v>64</v>
      </c>
      <c r="B67" s="7" t="s">
        <v>16</v>
      </c>
      <c r="C67" s="7" t="s">
        <v>179</v>
      </c>
      <c r="D67" s="7" t="s">
        <v>60</v>
      </c>
      <c r="E67" s="9">
        <v>1310</v>
      </c>
      <c r="F67" s="9">
        <v>25000</v>
      </c>
      <c r="G67" s="9">
        <f>ROUND((E67+F67)/2,0)</f>
        <v>13155</v>
      </c>
      <c r="H67" s="12" t="s">
        <v>180</v>
      </c>
      <c r="I67" s="9">
        <f>E67</f>
        <v>1310</v>
      </c>
      <c r="J67" s="13" t="s">
        <v>33</v>
      </c>
      <c r="K67" s="14" t="s">
        <v>34</v>
      </c>
    </row>
    <row r="68" ht="24" customHeight="1" spans="1:11" x14ac:dyDescent="0.25">
      <c r="A68" s="11">
        <v>65</v>
      </c>
      <c r="B68" s="7" t="s">
        <v>16</v>
      </c>
      <c r="C68" s="7" t="s">
        <v>181</v>
      </c>
      <c r="D68" s="7" t="s">
        <v>182</v>
      </c>
      <c r="E68" s="9">
        <v>1010</v>
      </c>
      <c r="F68" s="9">
        <v>2500</v>
      </c>
      <c r="G68" s="9">
        <f>ROUND((E68+F68)/2,0)</f>
        <v>1755</v>
      </c>
      <c r="H68" s="12" t="s">
        <v>183</v>
      </c>
      <c r="I68" s="9">
        <f>E68</f>
        <v>1010</v>
      </c>
      <c r="J68" s="13" t="s">
        <v>33</v>
      </c>
      <c r="K68" s="14" t="s">
        <v>34</v>
      </c>
    </row>
    <row r="69" ht="24" customHeight="1" spans="1:11" x14ac:dyDescent="0.25">
      <c r="A69" s="11">
        <v>66</v>
      </c>
      <c r="B69" s="7" t="s">
        <v>16</v>
      </c>
      <c r="C69" s="7" t="s">
        <v>184</v>
      </c>
      <c r="D69" s="7" t="s">
        <v>185</v>
      </c>
      <c r="E69" s="9">
        <v>9500</v>
      </c>
      <c r="F69" s="9">
        <v>9500</v>
      </c>
      <c r="G69" s="9">
        <f>ROUND((E69+F69)/2,0)</f>
        <v>9500</v>
      </c>
      <c r="H69" s="12" t="s">
        <v>186</v>
      </c>
      <c r="I69" s="9">
        <f>E69</f>
        <v>9500</v>
      </c>
      <c r="J69" s="13" t="s">
        <v>33</v>
      </c>
      <c r="K69" s="14" t="s">
        <v>34</v>
      </c>
    </row>
    <row r="70" ht="24" customHeight="1" spans="1:11" x14ac:dyDescent="0.25">
      <c r="A70" s="11">
        <v>67</v>
      </c>
      <c r="B70" s="7" t="s">
        <v>17</v>
      </c>
      <c r="C70" s="7" t="s">
        <v>187</v>
      </c>
      <c r="D70" s="7" t="s">
        <v>50</v>
      </c>
      <c r="E70" s="9">
        <v>29700</v>
      </c>
      <c r="F70" s="9">
        <v>40000</v>
      </c>
      <c r="G70" s="9">
        <f>ROUND((E70+F70)/2,0)</f>
        <v>34850</v>
      </c>
      <c r="H70" s="12" t="s">
        <v>188</v>
      </c>
      <c r="I70" s="9">
        <f>E70</f>
        <v>29700</v>
      </c>
      <c r="J70" s="13" t="s">
        <v>33</v>
      </c>
      <c r="K70" s="14" t="s">
        <v>34</v>
      </c>
    </row>
    <row r="71" ht="24" customHeight="1" spans="1:11" x14ac:dyDescent="0.25">
      <c r="A71" s="11">
        <v>68</v>
      </c>
      <c r="B71" s="7" t="s">
        <v>17</v>
      </c>
      <c r="C71" s="7" t="s">
        <v>189</v>
      </c>
      <c r="D71" s="7" t="s">
        <v>60</v>
      </c>
      <c r="E71" s="9">
        <v>1000</v>
      </c>
      <c r="F71" s="9">
        <v>5360</v>
      </c>
      <c r="G71" s="9">
        <f>ROUND((E71+F71)/2,0)</f>
        <v>3180</v>
      </c>
      <c r="H71" s="12" t="s">
        <v>190</v>
      </c>
      <c r="I71" s="9">
        <f>E71</f>
        <v>1000</v>
      </c>
      <c r="J71" s="13" t="s">
        <v>33</v>
      </c>
      <c r="K71" s="14" t="s">
        <v>34</v>
      </c>
    </row>
    <row r="72" ht="24" customHeight="1" spans="1:11" x14ac:dyDescent="0.25">
      <c r="A72" s="11">
        <v>69</v>
      </c>
      <c r="B72" s="7" t="s">
        <v>17</v>
      </c>
      <c r="C72" s="7" t="s">
        <v>191</v>
      </c>
      <c r="D72" s="7" t="s">
        <v>60</v>
      </c>
      <c r="E72" s="9">
        <v>3100</v>
      </c>
      <c r="F72" s="9">
        <v>5600</v>
      </c>
      <c r="G72" s="9">
        <f>ROUND((E72+F72)/2,0)</f>
        <v>4350</v>
      </c>
      <c r="H72" s="12" t="s">
        <v>192</v>
      </c>
      <c r="I72" s="9">
        <f>E72</f>
        <v>3100</v>
      </c>
      <c r="J72" s="13" t="s">
        <v>33</v>
      </c>
      <c r="K72" s="14" t="s">
        <v>34</v>
      </c>
    </row>
    <row r="73" ht="24" customHeight="1" spans="1:11" x14ac:dyDescent="0.25">
      <c r="A73" s="11">
        <v>70</v>
      </c>
      <c r="B73" s="7" t="s">
        <v>17</v>
      </c>
      <c r="C73" s="7" t="s">
        <v>193</v>
      </c>
      <c r="D73" s="7" t="s">
        <v>60</v>
      </c>
      <c r="E73" s="9">
        <v>2500</v>
      </c>
      <c r="F73" s="9">
        <v>8510</v>
      </c>
      <c r="G73" s="9">
        <f>ROUND((E73+F73)/2,0)</f>
        <v>5505</v>
      </c>
      <c r="H73" s="12" t="s">
        <v>194</v>
      </c>
      <c r="I73" s="9">
        <f>E73</f>
        <v>2500</v>
      </c>
      <c r="J73" s="13" t="s">
        <v>33</v>
      </c>
      <c r="K73" s="14" t="s">
        <v>34</v>
      </c>
    </row>
    <row r="74" ht="24" customHeight="1" spans="1:11" x14ac:dyDescent="0.25">
      <c r="A74" s="11">
        <v>71</v>
      </c>
      <c r="B74" s="7" t="s">
        <v>17</v>
      </c>
      <c r="C74" s="7" t="s">
        <v>195</v>
      </c>
      <c r="D74" s="7" t="s">
        <v>60</v>
      </c>
      <c r="E74" s="9">
        <v>2250</v>
      </c>
      <c r="F74" s="9">
        <v>8510</v>
      </c>
      <c r="G74" s="9">
        <f>ROUND((E74+F74)/2,0)</f>
        <v>5380</v>
      </c>
      <c r="H74" s="12" t="s">
        <v>196</v>
      </c>
      <c r="I74" s="9">
        <f>E74</f>
        <v>2250</v>
      </c>
      <c r="J74" s="13" t="s">
        <v>33</v>
      </c>
      <c r="K74" s="14" t="s">
        <v>34</v>
      </c>
    </row>
    <row r="75" ht="24" customHeight="1" spans="1:11" x14ac:dyDescent="0.25">
      <c r="A75" s="11">
        <v>72</v>
      </c>
      <c r="B75" s="7" t="s">
        <v>17</v>
      </c>
      <c r="C75" s="7" t="s">
        <v>197</v>
      </c>
      <c r="D75" s="7" t="s">
        <v>60</v>
      </c>
      <c r="E75" s="9">
        <v>700</v>
      </c>
      <c r="F75" s="9">
        <v>15000</v>
      </c>
      <c r="G75" s="9">
        <f>ROUND((E75+F75)/2,0)</f>
        <v>7850</v>
      </c>
      <c r="H75" s="12" t="s">
        <v>198</v>
      </c>
      <c r="I75" s="9">
        <f>E75</f>
        <v>700</v>
      </c>
      <c r="J75" s="13" t="s">
        <v>33</v>
      </c>
      <c r="K75" s="14" t="s">
        <v>34</v>
      </c>
    </row>
    <row r="76" ht="24" customHeight="1" spans="1:11" x14ac:dyDescent="0.25">
      <c r="A76" s="11">
        <v>73</v>
      </c>
      <c r="B76" s="7" t="s">
        <v>17</v>
      </c>
      <c r="C76" s="7" t="s">
        <v>199</v>
      </c>
      <c r="D76" s="7" t="s">
        <v>60</v>
      </c>
      <c r="E76" s="9">
        <v>3490</v>
      </c>
      <c r="F76" s="9">
        <v>10000</v>
      </c>
      <c r="G76" s="9">
        <f>ROUND((E76+F76)/2,0)</f>
        <v>6745</v>
      </c>
      <c r="H76" s="12" t="s">
        <v>200</v>
      </c>
      <c r="I76" s="9">
        <f>E76</f>
        <v>3490</v>
      </c>
      <c r="J76" s="13" t="s">
        <v>33</v>
      </c>
      <c r="K76" s="14" t="s">
        <v>34</v>
      </c>
    </row>
    <row r="77" ht="24" customHeight="1" spans="1:11" x14ac:dyDescent="0.25">
      <c r="A77" s="11">
        <v>74</v>
      </c>
      <c r="B77" s="7" t="s">
        <v>17</v>
      </c>
      <c r="C77" s="7" t="s">
        <v>201</v>
      </c>
      <c r="D77" s="7" t="s">
        <v>60</v>
      </c>
      <c r="E77" s="9">
        <v>1700</v>
      </c>
      <c r="F77" s="9">
        <v>5000</v>
      </c>
      <c r="G77" s="9">
        <f>ROUND((E77+F77)/2,0)</f>
        <v>3350</v>
      </c>
      <c r="H77" s="12" t="s">
        <v>202</v>
      </c>
      <c r="I77" s="9">
        <f>E77</f>
        <v>1700</v>
      </c>
      <c r="J77" s="13" t="s">
        <v>33</v>
      </c>
      <c r="K77" s="14" t="s">
        <v>34</v>
      </c>
    </row>
    <row r="78" ht="24" customHeight="1" spans="1:11" x14ac:dyDescent="0.25">
      <c r="A78" s="11">
        <v>75</v>
      </c>
      <c r="B78" s="7" t="s">
        <v>17</v>
      </c>
      <c r="C78" s="7" t="s">
        <v>203</v>
      </c>
      <c r="D78" s="7" t="s">
        <v>60</v>
      </c>
      <c r="E78" s="9">
        <v>1500</v>
      </c>
      <c r="F78" s="9">
        <v>25000</v>
      </c>
      <c r="G78" s="9">
        <f>ROUND((E78+F78)/2,0)</f>
        <v>13250</v>
      </c>
      <c r="H78" s="12" t="s">
        <v>204</v>
      </c>
      <c r="I78" s="9">
        <f>E78</f>
        <v>1500</v>
      </c>
      <c r="J78" s="13" t="s">
        <v>33</v>
      </c>
      <c r="K78" s="14" t="s">
        <v>34</v>
      </c>
    </row>
    <row r="79" ht="24" customHeight="1" spans="1:11" x14ac:dyDescent="0.25">
      <c r="A79" s="11">
        <v>76</v>
      </c>
      <c r="B79" s="7" t="s">
        <v>17</v>
      </c>
      <c r="C79" s="7" t="s">
        <v>205</v>
      </c>
      <c r="D79" s="7" t="s">
        <v>60</v>
      </c>
      <c r="E79" s="9">
        <v>1000</v>
      </c>
      <c r="F79" s="9">
        <v>11600</v>
      </c>
      <c r="G79" s="9">
        <f>ROUND((E79+F79)/2,0)</f>
        <v>6300</v>
      </c>
      <c r="H79" s="12" t="s">
        <v>206</v>
      </c>
      <c r="I79" s="9">
        <f>E79</f>
        <v>1000</v>
      </c>
      <c r="J79" s="13" t="s">
        <v>33</v>
      </c>
      <c r="K79" s="14" t="s">
        <v>34</v>
      </c>
    </row>
    <row r="80" ht="24" customHeight="1" spans="1:11" x14ac:dyDescent="0.25">
      <c r="A80" s="11">
        <v>77</v>
      </c>
      <c r="B80" s="7" t="s">
        <v>18</v>
      </c>
      <c r="C80" s="7" t="s">
        <v>207</v>
      </c>
      <c r="D80" s="7" t="s">
        <v>182</v>
      </c>
      <c r="E80" s="9">
        <v>5500</v>
      </c>
      <c r="F80" s="9">
        <v>12990</v>
      </c>
      <c r="G80" s="9">
        <f>ROUND((E80+F80)/2,0)</f>
        <v>9245</v>
      </c>
      <c r="H80" s="12" t="s">
        <v>208</v>
      </c>
      <c r="I80" s="9">
        <f>E80</f>
        <v>5500</v>
      </c>
      <c r="J80" s="13" t="s">
        <v>33</v>
      </c>
      <c r="K80" s="14" t="s">
        <v>34</v>
      </c>
    </row>
    <row r="81" ht="24" customHeight="1" spans="1:11" x14ac:dyDescent="0.25">
      <c r="A81" s="11">
        <v>78</v>
      </c>
      <c r="B81" s="7" t="s">
        <v>18</v>
      </c>
      <c r="C81" s="7" t="s">
        <v>209</v>
      </c>
      <c r="D81" s="7" t="s">
        <v>60</v>
      </c>
      <c r="E81" s="9">
        <v>5000</v>
      </c>
      <c r="F81" s="9">
        <v>5000</v>
      </c>
      <c r="G81" s="9">
        <f>ROUND((E81+F81)/2,0)</f>
        <v>5000</v>
      </c>
      <c r="H81" s="12" t="s">
        <v>210</v>
      </c>
      <c r="I81" s="9">
        <f>E81</f>
        <v>5000</v>
      </c>
      <c r="J81" s="13" t="s">
        <v>33</v>
      </c>
      <c r="K81" s="14" t="s">
        <v>34</v>
      </c>
    </row>
    <row r="82" ht="24" customHeight="1" spans="1:11" x14ac:dyDescent="0.25">
      <c r="A82" s="11">
        <v>79</v>
      </c>
      <c r="B82" s="7" t="s">
        <v>18</v>
      </c>
      <c r="C82" s="7" t="s">
        <v>211</v>
      </c>
      <c r="D82" s="7" t="s">
        <v>60</v>
      </c>
      <c r="E82" s="9">
        <v>3000</v>
      </c>
      <c r="F82" s="9">
        <v>35000</v>
      </c>
      <c r="G82" s="9">
        <f>ROUND((E82+F82)/2,0)</f>
        <v>19000</v>
      </c>
      <c r="H82" s="12" t="s">
        <v>212</v>
      </c>
      <c r="I82" s="9">
        <f>E82</f>
        <v>3000</v>
      </c>
      <c r="J82" s="13" t="s">
        <v>33</v>
      </c>
      <c r="K82" s="14" t="s">
        <v>34</v>
      </c>
    </row>
    <row r="83" ht="24" customHeight="1" spans="1:11" x14ac:dyDescent="0.25">
      <c r="A83" s="11">
        <v>80</v>
      </c>
      <c r="B83" s="7" t="s">
        <v>18</v>
      </c>
      <c r="C83" s="7" t="s">
        <v>213</v>
      </c>
      <c r="D83" s="7" t="s">
        <v>60</v>
      </c>
      <c r="E83" s="9">
        <v>10000</v>
      </c>
      <c r="F83" s="9">
        <v>23000</v>
      </c>
      <c r="G83" s="9">
        <f>ROUND((E83+F83)/2,0)</f>
        <v>16500</v>
      </c>
      <c r="H83" s="12" t="s">
        <v>214</v>
      </c>
      <c r="I83" s="9">
        <f>E83</f>
        <v>10000</v>
      </c>
      <c r="J83" s="13" t="s">
        <v>33</v>
      </c>
      <c r="K83" s="14" t="s">
        <v>34</v>
      </c>
    </row>
    <row r="84" ht="24" customHeight="1" spans="1:11" x14ac:dyDescent="0.25">
      <c r="A84" s="11">
        <v>81</v>
      </c>
      <c r="B84" s="7" t="s">
        <v>18</v>
      </c>
      <c r="C84" s="7" t="s">
        <v>215</v>
      </c>
      <c r="D84" s="7" t="s">
        <v>216</v>
      </c>
      <c r="E84" s="9">
        <v>7000</v>
      </c>
      <c r="F84" s="9">
        <v>45000</v>
      </c>
      <c r="G84" s="9">
        <f>ROUND((E84+F84)/2,0)</f>
        <v>26000</v>
      </c>
      <c r="H84" s="12" t="s">
        <v>217</v>
      </c>
      <c r="I84" s="9">
        <f>E84</f>
        <v>7000</v>
      </c>
      <c r="J84" s="13" t="s">
        <v>33</v>
      </c>
      <c r="K84" s="14" t="s">
        <v>34</v>
      </c>
    </row>
    <row r="85" ht="24" customHeight="1" spans="1:11" x14ac:dyDescent="0.25">
      <c r="A85" s="11">
        <v>82</v>
      </c>
      <c r="B85" s="7" t="s">
        <v>18</v>
      </c>
      <c r="C85" s="7" t="s">
        <v>218</v>
      </c>
      <c r="D85" s="7" t="s">
        <v>60</v>
      </c>
      <c r="E85" s="9">
        <v>1500</v>
      </c>
      <c r="F85" s="9">
        <v>3550</v>
      </c>
      <c r="G85" s="9">
        <f>ROUND((E85+F85)/2,0)</f>
        <v>2525</v>
      </c>
      <c r="H85" s="12" t="s">
        <v>219</v>
      </c>
      <c r="I85" s="9">
        <f>E85</f>
        <v>1500</v>
      </c>
      <c r="J85" s="13" t="s">
        <v>33</v>
      </c>
      <c r="K85" s="14" t="s">
        <v>34</v>
      </c>
    </row>
    <row r="86" ht="24" customHeight="1" spans="1:11" x14ac:dyDescent="0.25">
      <c r="A86" s="11">
        <v>83</v>
      </c>
      <c r="B86" s="7" t="s">
        <v>18</v>
      </c>
      <c r="C86" s="7" t="s">
        <v>220</v>
      </c>
      <c r="D86" s="7" t="s">
        <v>221</v>
      </c>
      <c r="E86" s="9">
        <v>6000</v>
      </c>
      <c r="F86" s="9">
        <v>6000</v>
      </c>
      <c r="G86" s="9">
        <f>ROUND((E86+F86)/2,0)</f>
        <v>6000</v>
      </c>
      <c r="H86" s="12" t="s">
        <v>186</v>
      </c>
      <c r="I86" s="9">
        <f>E86</f>
        <v>6000</v>
      </c>
      <c r="J86" s="13" t="s">
        <v>33</v>
      </c>
      <c r="K86" s="14" t="s">
        <v>34</v>
      </c>
    </row>
    <row r="87" ht="24" customHeight="1" spans="1:11" x14ac:dyDescent="0.25">
      <c r="A87" s="11">
        <v>84</v>
      </c>
      <c r="B87" s="7" t="s">
        <v>18</v>
      </c>
      <c r="C87" s="7" t="s">
        <v>222</v>
      </c>
      <c r="D87" s="7" t="s">
        <v>60</v>
      </c>
      <c r="E87" s="9">
        <v>450</v>
      </c>
      <c r="F87" s="9">
        <v>3470</v>
      </c>
      <c r="G87" s="9">
        <f>ROUND((E87+F87)/2,0)</f>
        <v>1960</v>
      </c>
      <c r="H87" s="12" t="s">
        <v>186</v>
      </c>
      <c r="I87" s="9">
        <f>E87</f>
        <v>450</v>
      </c>
      <c r="J87" s="13" t="s">
        <v>33</v>
      </c>
      <c r="K87" s="14" t="s">
        <v>34</v>
      </c>
    </row>
  </sheetData>
  <autoFilter ref="A3:K87"/>
  <mergeCells count="2">
    <mergeCell ref="A1:K1"/>
    <mergeCell ref="A2:K2"/>
  </mergeCells>
  <hyperlinks>
    <hyperlink ref="J4" r:id="rId1"/>
    <hyperlink ref="K4" r:id="rId2"/>
    <hyperlink ref="J5" r:id="rId3"/>
    <hyperlink ref="K5" r:id="rId4"/>
    <hyperlink ref="J6" r:id="rId5"/>
    <hyperlink ref="K6" r:id="rId6"/>
    <hyperlink ref="J7" r:id="rId7"/>
    <hyperlink ref="K7" r:id="rId8"/>
    <hyperlink ref="J8" r:id="rId9"/>
    <hyperlink ref="K8" r:id="rId10"/>
    <hyperlink ref="J9" r:id="rId11"/>
    <hyperlink ref="K9" r:id="rId12"/>
    <hyperlink ref="J10" r:id="rId13"/>
    <hyperlink ref="K10" r:id="rId14"/>
    <hyperlink ref="J11" r:id="rId15"/>
    <hyperlink ref="K11" r:id="rId16"/>
    <hyperlink ref="J12" r:id="rId17"/>
    <hyperlink ref="K12" r:id="rId18"/>
    <hyperlink ref="J13" r:id="rId19"/>
    <hyperlink ref="K13" r:id="rId20"/>
    <hyperlink ref="J14" r:id="rId21"/>
    <hyperlink ref="K14" r:id="rId22"/>
    <hyperlink ref="J15" r:id="rId23"/>
    <hyperlink ref="K15" r:id="rId24"/>
    <hyperlink ref="J16" r:id="rId25"/>
    <hyperlink ref="K16" r:id="rId26"/>
    <hyperlink ref="J17" r:id="rId27"/>
    <hyperlink ref="K17" r:id="rId28"/>
    <hyperlink ref="J18" r:id="rId29"/>
    <hyperlink ref="K18" r:id="rId30"/>
    <hyperlink ref="J19" r:id="rId31"/>
    <hyperlink ref="K19" r:id="rId32"/>
    <hyperlink ref="J20" r:id="rId33"/>
    <hyperlink ref="K20" r:id="rId34"/>
    <hyperlink ref="J21" r:id="rId35"/>
    <hyperlink ref="K21" r:id="rId36"/>
    <hyperlink ref="J22" r:id="rId37"/>
    <hyperlink ref="K22" r:id="rId38"/>
    <hyperlink ref="J23" r:id="rId39"/>
    <hyperlink ref="K23" r:id="rId40"/>
    <hyperlink ref="J24" r:id="rId41"/>
    <hyperlink ref="K24" r:id="rId42"/>
    <hyperlink ref="J25" r:id="rId43"/>
    <hyperlink ref="K25" r:id="rId44"/>
    <hyperlink ref="J26" r:id="rId45"/>
    <hyperlink ref="K26" r:id="rId46"/>
    <hyperlink ref="J27" r:id="rId47"/>
    <hyperlink ref="K27" r:id="rId48"/>
    <hyperlink ref="J28" r:id="rId49"/>
    <hyperlink ref="K28" r:id="rId50"/>
    <hyperlink ref="J29" r:id="rId51"/>
    <hyperlink ref="K29" r:id="rId52"/>
    <hyperlink ref="J30" r:id="rId53"/>
    <hyperlink ref="K30" r:id="rId54"/>
    <hyperlink ref="J31" r:id="rId55"/>
    <hyperlink ref="K31" r:id="rId56"/>
    <hyperlink ref="J32" r:id="rId57"/>
    <hyperlink ref="K32" r:id="rId58"/>
    <hyperlink ref="J33" r:id="rId59"/>
    <hyperlink ref="K33" r:id="rId60"/>
    <hyperlink ref="J34" r:id="rId61"/>
    <hyperlink ref="K34" r:id="rId62"/>
    <hyperlink ref="J35" r:id="rId63"/>
    <hyperlink ref="K35" r:id="rId64"/>
    <hyperlink ref="J36" r:id="rId65"/>
    <hyperlink ref="K36" r:id="rId66"/>
    <hyperlink ref="J37" r:id="rId67"/>
    <hyperlink ref="K37" r:id="rId68"/>
    <hyperlink ref="J38" r:id="rId69"/>
    <hyperlink ref="K38" r:id="rId70"/>
    <hyperlink ref="J39" r:id="rId71"/>
    <hyperlink ref="K39" r:id="rId72"/>
    <hyperlink ref="J40" r:id="rId73"/>
    <hyperlink ref="K40" r:id="rId74"/>
    <hyperlink ref="J41" r:id="rId75"/>
    <hyperlink ref="K41" r:id="rId76"/>
    <hyperlink ref="J42" r:id="rId77"/>
    <hyperlink ref="K42" r:id="rId78"/>
    <hyperlink ref="J43" r:id="rId79"/>
    <hyperlink ref="K43" r:id="rId80"/>
    <hyperlink ref="J44" r:id="rId81"/>
    <hyperlink ref="K44" r:id="rId82"/>
    <hyperlink ref="J45" r:id="rId83"/>
    <hyperlink ref="K45" r:id="rId84"/>
    <hyperlink ref="J46" r:id="rId85"/>
    <hyperlink ref="K46" r:id="rId86"/>
    <hyperlink ref="J47" r:id="rId87"/>
    <hyperlink ref="K47" r:id="rId88"/>
    <hyperlink ref="J48" r:id="rId89"/>
    <hyperlink ref="K48" r:id="rId90"/>
    <hyperlink ref="J49" r:id="rId91"/>
    <hyperlink ref="K49" r:id="rId92"/>
    <hyperlink ref="J50" r:id="rId93"/>
    <hyperlink ref="K50" r:id="rId94"/>
    <hyperlink ref="J51" r:id="rId95"/>
    <hyperlink ref="K51" r:id="rId96"/>
    <hyperlink ref="J52" r:id="rId97"/>
    <hyperlink ref="K52" r:id="rId98"/>
    <hyperlink ref="J53" r:id="rId99"/>
    <hyperlink ref="K53" r:id="rId100"/>
    <hyperlink ref="J54" r:id="rId101"/>
    <hyperlink ref="K54" r:id="rId102"/>
    <hyperlink ref="J55" r:id="rId103"/>
    <hyperlink ref="K55" r:id="rId104"/>
    <hyperlink ref="J56" r:id="rId105"/>
    <hyperlink ref="K56" r:id="rId106"/>
    <hyperlink ref="J57" r:id="rId107"/>
    <hyperlink ref="K57" r:id="rId108"/>
    <hyperlink ref="J58" r:id="rId109"/>
    <hyperlink ref="K58" r:id="rId110"/>
    <hyperlink ref="J59" r:id="rId111"/>
    <hyperlink ref="K59" r:id="rId112"/>
    <hyperlink ref="J60" r:id="rId113"/>
    <hyperlink ref="K60" r:id="rId114"/>
    <hyperlink ref="J61" r:id="rId115"/>
    <hyperlink ref="K61" r:id="rId116"/>
    <hyperlink ref="J62" r:id="rId117"/>
    <hyperlink ref="K62" r:id="rId118"/>
    <hyperlink ref="J63" r:id="rId119"/>
    <hyperlink ref="K63" r:id="rId120"/>
    <hyperlink ref="J64" r:id="rId121"/>
    <hyperlink ref="K64" r:id="rId122"/>
    <hyperlink ref="J65" r:id="rId123"/>
    <hyperlink ref="K65" r:id="rId124"/>
    <hyperlink ref="J66" r:id="rId125"/>
    <hyperlink ref="K66" r:id="rId126"/>
    <hyperlink ref="J67" r:id="rId127"/>
    <hyperlink ref="K67" r:id="rId128"/>
    <hyperlink ref="J68" r:id="rId129"/>
    <hyperlink ref="K68" r:id="rId130"/>
    <hyperlink ref="J69" r:id="rId131"/>
    <hyperlink ref="K69" r:id="rId132"/>
    <hyperlink ref="J70" r:id="rId133"/>
    <hyperlink ref="K70" r:id="rId134"/>
    <hyperlink ref="J71" r:id="rId135"/>
    <hyperlink ref="K71" r:id="rId136"/>
    <hyperlink ref="J72" r:id="rId137"/>
    <hyperlink ref="K72" r:id="rId138"/>
    <hyperlink ref="J73" r:id="rId139"/>
    <hyperlink ref="K73" r:id="rId140"/>
    <hyperlink ref="J74" r:id="rId141"/>
    <hyperlink ref="K74" r:id="rId142"/>
    <hyperlink ref="J75" r:id="rId143"/>
    <hyperlink ref="K75" r:id="rId144"/>
    <hyperlink ref="J76" r:id="rId145"/>
    <hyperlink ref="K76" r:id="rId146"/>
    <hyperlink ref="J77" r:id="rId147"/>
    <hyperlink ref="K77" r:id="rId148"/>
    <hyperlink ref="J78" r:id="rId149"/>
    <hyperlink ref="K78" r:id="rId150"/>
    <hyperlink ref="J79" r:id="rId151"/>
    <hyperlink ref="K79" r:id="rId152"/>
    <hyperlink ref="J80" r:id="rId153"/>
    <hyperlink ref="K80" r:id="rId154"/>
    <hyperlink ref="J81" r:id="rId155"/>
    <hyperlink ref="K81" r:id="rId156"/>
    <hyperlink ref="J82" r:id="rId157"/>
    <hyperlink ref="K82" r:id="rId158"/>
    <hyperlink ref="J83" r:id="rId159"/>
    <hyperlink ref="K83" r:id="rId160"/>
    <hyperlink ref="J84" r:id="rId161"/>
    <hyperlink ref="K84" r:id="rId162"/>
    <hyperlink ref="J85" r:id="rId163"/>
    <hyperlink ref="K85" r:id="rId164"/>
    <hyperlink ref="J86" r:id="rId165"/>
    <hyperlink ref="K86" r:id="rId166"/>
    <hyperlink ref="J87" r:id="rId167"/>
    <hyperlink ref="K87" r:id="rId168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 showGridLines="0" zoomScale="100" zoomScaleNormal="100"/>
  </sheetViews>
  <sheetFormatPr defaultRowHeight="15" outlineLevelRow="0" outlineLevelCol="0" x14ac:dyDescent="55"/>
  <cols>
    <col min="1" max="1" width="34" customWidth="1"/>
    <col min="2" max="2" width="44" customWidth="1"/>
    <col min="3" max="3" width="28" customWidth="1"/>
    <col min="4" max="4" width="44" customWidth="1"/>
  </cols>
  <sheetData>
    <row r="1" ht="28" customHeight="1" spans="1:4" x14ac:dyDescent="0.25">
      <c r="A1" s="1" t="s">
        <v>223</v>
      </c>
      <c r="B1" s="1"/>
      <c r="C1" s="1"/>
      <c r="D1" s="1"/>
    </row>
    <row r="2" ht="32" customHeight="1" spans="1:4" x14ac:dyDescent="0.25">
      <c r="A2" s="2" t="s">
        <v>224</v>
      </c>
      <c r="B2" s="2"/>
      <c r="C2" s="2"/>
      <c r="D2" s="2"/>
    </row>
    <row r="3" spans="1:4" x14ac:dyDescent="0.25">
      <c r="A3" s="6" t="s">
        <v>225</v>
      </c>
      <c r="B3" s="6" t="s">
        <v>226</v>
      </c>
      <c r="C3" s="6" t="s">
        <v>227</v>
      </c>
      <c r="D3" s="6" t="s">
        <v>31</v>
      </c>
    </row>
    <row r="4" spans="1:4" x14ac:dyDescent="0.25">
      <c r="A4" s="7" t="s">
        <v>33</v>
      </c>
      <c r="B4" s="12" t="s">
        <v>228</v>
      </c>
      <c r="C4" s="7" t="s">
        <v>229</v>
      </c>
      <c r="D4" s="7" t="s">
        <v>230</v>
      </c>
    </row>
    <row r="5" spans="1:4" x14ac:dyDescent="0.25">
      <c r="A5" s="7" t="s">
        <v>231</v>
      </c>
      <c r="B5" s="12" t="s">
        <v>232</v>
      </c>
      <c r="C5" s="7" t="s">
        <v>233</v>
      </c>
      <c r="D5" s="7" t="s">
        <v>234</v>
      </c>
    </row>
    <row r="6" spans="1:4" x14ac:dyDescent="0.25">
      <c r="A6" s="7" t="s">
        <v>235</v>
      </c>
      <c r="B6" s="12" t="s">
        <v>236</v>
      </c>
      <c r="C6" s="7" t="s">
        <v>237</v>
      </c>
      <c r="D6" s="7" t="s">
        <v>238</v>
      </c>
    </row>
    <row r="7" spans="1:4" x14ac:dyDescent="0.25">
      <c r="A7" s="7" t="s">
        <v>239</v>
      </c>
      <c r="B7" s="12" t="s">
        <v>240</v>
      </c>
      <c r="C7" s="7" t="s">
        <v>229</v>
      </c>
      <c r="D7" s="7" t="s">
        <v>241</v>
      </c>
    </row>
    <row r="8" spans="1:4" x14ac:dyDescent="0.25">
      <c r="A8" s="7" t="s">
        <v>242</v>
      </c>
      <c r="B8" s="12" t="s">
        <v>243</v>
      </c>
      <c r="C8" s="7" t="s">
        <v>244</v>
      </c>
      <c r="D8" s="7" t="s">
        <v>245</v>
      </c>
    </row>
    <row r="9" spans="1:4" x14ac:dyDescent="0.25">
      <c r="A9" s="7" t="s">
        <v>246</v>
      </c>
      <c r="B9" s="12" t="s">
        <v>247</v>
      </c>
      <c r="C9" s="7" t="s">
        <v>248</v>
      </c>
      <c r="D9" s="7" t="s">
        <v>249</v>
      </c>
    </row>
    <row r="10" spans="1:4" x14ac:dyDescent="0.25">
      <c r="A10" s="7"/>
      <c r="B10" s="7"/>
      <c r="C10" s="7"/>
      <c r="D10" s="7"/>
    </row>
    <row r="11" spans="1:4" x14ac:dyDescent="0.25">
      <c r="A11" s="7"/>
      <c r="B11" s="7"/>
      <c r="C11" s="7"/>
      <c r="D11" s="7"/>
    </row>
    <row r="12" spans="1:4" x14ac:dyDescent="0.25">
      <c r="A12" s="7"/>
      <c r="B12" s="7"/>
      <c r="C12" s="7"/>
      <c r="D12" s="7"/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70" customWidth="1"/>
  </cols>
  <sheetData>
    <row r="1" spans="1:1" x14ac:dyDescent="0.25">
      <c r="A1" s="16" t="s">
        <v>250</v>
      </c>
    </row>
    <row r="2" spans="1:1" x14ac:dyDescent="0.25">
      <c r="A2" s="17" t="s">
        <v>251</v>
      </c>
    </row>
    <row r="4" spans="1:1" x14ac:dyDescent="0.25">
      <c r="A4" s="18" t="s">
        <v>252</v>
      </c>
    </row>
    <row r="6" spans="1:1" x14ac:dyDescent="0.25">
      <c r="A6" s="5" t="s">
        <v>253</v>
      </c>
    </row>
    <row r="7" spans="1:1" x14ac:dyDescent="0.25">
      <c r="A7" s="19" t="s">
        <v>254</v>
      </c>
    </row>
    <row r="8" spans="1:1" x14ac:dyDescent="0.25">
      <c r="A8" s="19" t="s">
        <v>255</v>
      </c>
    </row>
    <row r="9" spans="1:1" x14ac:dyDescent="0.25">
      <c r="A9" s="19" t="s">
        <v>256</v>
      </c>
    </row>
    <row r="11" spans="1:1" x14ac:dyDescent="0.25">
      <c r="A11" s="20" t="s">
        <v>257</v>
      </c>
    </row>
  </sheetData>
  <hyperlinks>
    <hyperlink ref="A4" r:id="rId1"/>
    <hyperlink ref="A7" r:id="rId2"/>
    <hyperlink ref="A8" r:id="rId3"/>
    <hyperlink ref="A9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Дашборд</vt:lpstr>
      <vt:lpstr>Прайс</vt:lpstr>
      <vt:lpstr>Источники</vt:lpstr>
      <vt:lpstr>О прайсе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2026-09-24T08:27:54Z</dcterms:created>
  <dcterms:modified xsi:type="dcterms:W3CDTF">2026-09-24T08:27:54Z</dcterms:modified>
</cp:coreProperties>
</file>