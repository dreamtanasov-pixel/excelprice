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  <sheet sheetId="4" name="О прайсе" state="visible" r:id="rId7"/>
  </sheets>
  <calcPr calcId="171027"/>
</workbook>
</file>

<file path=xl/sharedStrings.xml><?xml version="1.0" encoding="utf-8"?>
<sst xmlns="http://schemas.openxmlformats.org/spreadsheetml/2006/main" count="277" uniqueCount="122">
  <si>
    <t>БУ-запчасти Lada Niva 4x4 / Niva Legend (1.7, 21214)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</si>
  <si>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</si>
  <si>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</si>
  <si>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</si>
  <si>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</si>
  <si>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</si>
  <si>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</si>
  <si>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</si>
  <si>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</si>
  <si>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</si>
  <si>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</si>
  <si>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</si>
  <si>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</si>
  <si>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</si>
  <si>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</si>
  <si>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</si>
  <si>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</si>
  <si>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</si>
  <si>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</si>
  <si>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</si>
  <si>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</si>
  <si>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</si>
  <si>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XBaz, Авито.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</si>
  <si>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</si>
  <si>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</si>
  <si>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</si>
  <si>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</si>
  <si>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</si>
  <si>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</si>
  <si>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</si>
  <si>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</si>
  <si>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</si>
  <si>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21214</t>
  </si>
  <si>
    <t>212141000400029</t>
  </si>
  <si>
    <t>XBaz</t>
  </si>
  <si>
    <t>Блок цилиндров</t>
  </si>
  <si>
    <t>2121</t>
  </si>
  <si>
    <t>XBaz, Тверь</t>
  </si>
  <si>
    <t>ГБЦ</t>
  </si>
  <si>
    <t>212141003015</t>
  </si>
  <si>
    <t>Клапанная крышка</t>
  </si>
  <si>
    <t>21212100326000</t>
  </si>
  <si>
    <t>Поддон двигателя</t>
  </si>
  <si>
    <t/>
  </si>
  <si>
    <t>XBaz, замятый</t>
  </si>
  <si>
    <t>Форсунки (комплект)</t>
  </si>
  <si>
    <t>2123114401011</t>
  </si>
  <si>
    <t>Помпа</t>
  </si>
  <si>
    <t>210731307015</t>
  </si>
  <si>
    <t>Радиатор</t>
  </si>
  <si>
    <t>Генератор</t>
  </si>
  <si>
    <t>8450083222</t>
  </si>
  <si>
    <t>Стартер</t>
  </si>
  <si>
    <t>Авито</t>
  </si>
  <si>
    <t>Компрессор кондиционера (комплект)</t>
  </si>
  <si>
    <t>21214811101210</t>
  </si>
  <si>
    <t>Катализатор</t>
  </si>
  <si>
    <t>21214 2013</t>
  </si>
  <si>
    <t>Глушитель</t>
  </si>
  <si>
    <t>МКПП 5-ст</t>
  </si>
  <si>
    <t>21011701015</t>
  </si>
  <si>
    <t>XBaz/Дром</t>
  </si>
  <si>
    <t>Раздаточная коробка</t>
  </si>
  <si>
    <t>21211802012</t>
  </si>
  <si>
    <t>Сцепление (корзина)</t>
  </si>
  <si>
    <t>Полуось</t>
  </si>
  <si>
    <t>XBaz, с дефектом</t>
  </si>
  <si>
    <t>Гарнитура (ШРУС внутренний)</t>
  </si>
  <si>
    <t>XBaz, Тольятти</t>
  </si>
  <si>
    <t>Редуктор переднего моста</t>
  </si>
  <si>
    <t>Карданный вал</t>
  </si>
  <si>
    <t>Рычаг подвески</t>
  </si>
  <si>
    <t>Амортизатор передний/задний</t>
  </si>
  <si>
    <t>21214290540200</t>
  </si>
  <si>
    <t>Тяга рулевая поперечная</t>
  </si>
  <si>
    <t>212103414010</t>
  </si>
  <si>
    <t>Рулевой наконечник</t>
  </si>
  <si>
    <t>Суппорт передний</t>
  </si>
  <si>
    <t>212133501154</t>
  </si>
  <si>
    <t>Барабан тормозной</t>
  </si>
  <si>
    <t>21213502070</t>
  </si>
  <si>
    <t>Фара передняя</t>
  </si>
  <si>
    <t>8450084241</t>
  </si>
  <si>
    <t>Фонарь задний</t>
  </si>
  <si>
    <t>212133716011</t>
  </si>
  <si>
    <t>Капот</t>
  </si>
  <si>
    <t>XBaz, с дефектами</t>
  </si>
  <si>
    <t>Крыло</t>
  </si>
  <si>
    <t>21210840302410</t>
  </si>
  <si>
    <t>Бампер задний</t>
  </si>
  <si>
    <t>Дверь передняя</t>
  </si>
  <si>
    <t>21214</t>
  </si>
  <si>
    <t>Панель приборов</t>
  </si>
  <si>
    <t>Мотор стеклоподъёмника</t>
  </si>
  <si>
    <t>Мотор печки</t>
  </si>
  <si>
    <t>8450082715</t>
  </si>
  <si>
    <t>Сиденья передние (комплект)</t>
  </si>
  <si>
    <t>212136810011</t>
  </si>
  <si>
    <t>XBaz, Москва</t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</si>
  <si>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</si>
  <si>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</si>
  <si>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</si>
  <si>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</si>
  <si>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</si>
  <si>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</si>
  <si>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</si>
  <si>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</si>
  <si>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</si>
  <si>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</si>
  <si>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</si>
  <si>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</si>
  <si>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</si>
  <si>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</si>
  <si>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</si>
  <si>
    <t>ExcelPrice — цены на любые запчасти</t>
  </si>
  <si>
    <t>Полные прайс-листы по моделям авто: все запчасти + актуальные цены со всего интернета</t>
  </si>
  <si>
    <t>Заказать свой прайс: https://excelprice.ru</t>
  </si>
  <si>
    <t>Контакты:</t>
  </si>
  <si>
    <t>Telegram: @Excelprice</t>
  </si>
  <si>
    <t>WhatsApp: +7 (900) 000-44-69</t>
  </si>
  <si>
    <t>Email: dot.akc@yandex.ru</t>
  </si>
  <si>
    <t>Если этот файл вам прислали — вы можете заказать такой же прайс на свою модель на сайте excelprice.ru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</si>
</sst>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  <font>
      <b/>
      <sz val="18"/>
      <color rgb="FF2F5597"/>
      <name val="Calibri"/>
    </font>
    <font>
      <sz val="11"/>
      <color rgb="FF667085"/>
      <name val="Calibri"/>
    </font>
    <font>
      <b/>
      <u/>
      <sz val="13"/>
      <color rgb="FF2A7F77"/>
      <name val="Calibri"/>
    </font>
    <font>
      <sz val="11"/>
      <color rgb="FF1F2A37"/>
      <name val="Calibri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lada%20niva%20%D0%94%D0%B2%D0%B8%D0%B3%D0%B0%D1%82%D0%B5%D0%BB%D1%8C%20%D0%B2%20%D1%81%D0%B1%D0%BE%D1%80%D0%B5%2021214%20%D0%B1%D1%83" TargetMode="External"/><Relationship Id="rId2" Type="http://schemas.openxmlformats.org/officeDocument/2006/relationships/hyperlink" Target="https://baza.drom.ru/sell_spare_parts/+/lada%20niva%20%D0%94%D0%B2%D0%B8%D0%B3%D0%B0%D1%82%D0%B5%D0%BB%D1%8C%20%D0%B2%20%D1%81%D0%B1%D0%BE%D1%80%D0%B5%2021214%20%D0%B1%D1%83/" TargetMode="External"/><Relationship Id="rId3" Type="http://schemas.openxmlformats.org/officeDocument/2006/relationships/hyperlink" Target="https://www.avito.ru/all/zapchasti_i_aksessuary?q=lada%20niva%20%D0%91%D0%BB%D0%BE%D0%BA%20%D1%86%D0%B8%D0%BB%D0%B8%D0%BD%D0%B4%D1%80%D0%BE%D0%B2%20%D0%B1%D1%83" TargetMode="External"/><Relationship Id="rId4" Type="http://schemas.openxmlformats.org/officeDocument/2006/relationships/hyperlink" Target="https://baza.drom.ru/sell_spare_parts/+/lada%20niva%20%D0%91%D0%BB%D0%BE%D0%BA%20%D1%86%D0%B8%D0%BB%D0%B8%D0%BD%D0%B4%D1%80%D0%BE%D0%B2%20%D0%B1%D1%83/" TargetMode="External"/><Relationship Id="rId5" Type="http://schemas.openxmlformats.org/officeDocument/2006/relationships/hyperlink" Target="https://www.avito.ru/all/zapchasti_i_aksessuary?q=lada%20niva%20%D0%93%D0%91%D0%A6%20%D0%B1%D1%83" TargetMode="External"/><Relationship Id="rId6" Type="http://schemas.openxmlformats.org/officeDocument/2006/relationships/hyperlink" Target="https://baza.drom.ru/sell_spare_parts/+/lada%20niva%20%D0%93%D0%91%D0%A6%20%D0%B1%D1%83/" TargetMode="External"/><Relationship Id="rId7" Type="http://schemas.openxmlformats.org/officeDocument/2006/relationships/hyperlink" Target="https://www.avito.ru/all/zapchasti_i_aksessuary?q=lada%20niva%20%D0%9A%D0%BB%D0%B0%D0%BF%D0%B0%D0%BD%D0%BD%D0%B0%D1%8F%20%D0%BA%D1%80%D1%8B%D1%88%D0%BA%D0%B0%20%D0%B1%D1%83" TargetMode="External"/><Relationship Id="rId8" Type="http://schemas.openxmlformats.org/officeDocument/2006/relationships/hyperlink" Target="https://baza.drom.ru/sell_spare_parts/+/lada%20niva%20%D0%9A%D0%BB%D0%B0%D0%BF%D0%B0%D0%BD%D0%BD%D0%B0%D1%8F%20%D0%BA%D1%80%D1%8B%D1%88%D0%BA%D0%B0%20%D0%B1%D1%83/" TargetMode="External"/><Relationship Id="rId9" Type="http://schemas.openxmlformats.org/officeDocument/2006/relationships/hyperlink" Target="https://www.avito.ru/all/zapchasti_i_aksessuary?q=lada%20niva%20%D0%9F%D0%BE%D0%B4%D0%B4%D0%BE%D0%BD%20%D0%B4%D0%B2%D0%B8%D0%B3%D0%B0%D1%82%D0%B5%D0%BB%D1%8F%20%D0%B1%D1%83" TargetMode="External"/><Relationship Id="rId10" Type="http://schemas.openxmlformats.org/officeDocument/2006/relationships/hyperlink" Target="https://baza.drom.ru/sell_spare_parts/+/lada%20niva%20%D0%9F%D0%BE%D0%B4%D0%B4%D0%BE%D0%BD%20%D0%B4%D0%B2%D0%B8%D0%B3%D0%B0%D1%82%D0%B5%D0%BB%D1%8F%20%D0%B1%D1%83/" TargetMode="External"/><Relationship Id="rId11" Type="http://schemas.openxmlformats.org/officeDocument/2006/relationships/hyperlink" Target="https://www.avito.ru/all/zapchasti_i_aksessuary?q=lada%20niva%20%D0%A4%D0%BE%D1%80%D1%81%D1%83%D0%BD%D0%BA%D0%B8%20(%D0%BA%D0%BE%D0%BC%D0%BF%D0%BB%D0%B5%D0%BA%D1%82)%20%D0%B1%D1%83" TargetMode="External"/><Relationship Id="rId12" Type="http://schemas.openxmlformats.org/officeDocument/2006/relationships/hyperlink" Target="https://baza.drom.ru/sell_spare_parts/+/lada%20niva%20%D0%A4%D0%BE%D1%80%D1%81%D1%83%D0%BD%D0%BA%D0%B8%20(%D0%BA%D0%BE%D0%BC%D0%BF%D0%BB%D0%B5%D0%BA%D1%82)%20%D0%B1%D1%83/" TargetMode="External"/><Relationship Id="rId13" Type="http://schemas.openxmlformats.org/officeDocument/2006/relationships/hyperlink" Target="https://www.avito.ru/all/zapchasti_i_aksessuary?q=lada%20niva%20%D0%9F%D0%BE%D0%BC%D0%BF%D0%B0%20%D0%B1%D1%83" TargetMode="External"/><Relationship Id="rId14" Type="http://schemas.openxmlformats.org/officeDocument/2006/relationships/hyperlink" Target="https://baza.drom.ru/sell_spare_parts/+/lada%20niva%20%D0%9F%D0%BE%D0%BC%D0%BF%D0%B0%20%D0%B1%D1%83/" TargetMode="External"/><Relationship Id="rId15" Type="http://schemas.openxmlformats.org/officeDocument/2006/relationships/hyperlink" Target="https://www.avito.ru/all/zapchasti_i_aksessuary?q=lada%20niva%20%D0%A0%D0%B0%D0%B4%D0%B8%D0%B0%D1%82%D0%BE%D1%80%20%D0%B1%D1%83" TargetMode="External"/><Relationship Id="rId16" Type="http://schemas.openxmlformats.org/officeDocument/2006/relationships/hyperlink" Target="https://baza.drom.ru/sell_spare_parts/+/lada%20niva%20%D0%A0%D0%B0%D0%B4%D0%B8%D0%B0%D1%82%D0%BE%D1%80%20%D0%B1%D1%83/" TargetMode="External"/><Relationship Id="rId17" Type="http://schemas.openxmlformats.org/officeDocument/2006/relationships/hyperlink" Target="https://www.avito.ru/all/zapchasti_i_aksessuary?q=lada%20niva%20%D0%93%D0%B5%D0%BD%D0%B5%D1%80%D0%B0%D1%82%D0%BE%D1%80%20%D0%B1%D1%83" TargetMode="External"/><Relationship Id="rId18" Type="http://schemas.openxmlformats.org/officeDocument/2006/relationships/hyperlink" Target="https://baza.drom.ru/sell_spare_parts/+/lada%20niva%20%D0%93%D0%B5%D0%BD%D0%B5%D1%80%D0%B0%D1%82%D0%BE%D1%80%20%D0%B1%D1%83/" TargetMode="External"/><Relationship Id="rId19" Type="http://schemas.openxmlformats.org/officeDocument/2006/relationships/hyperlink" Target="https://www.avito.ru/all/zapchasti_i_aksessuary?q=lada%20niva%20%D0%A1%D1%82%D0%B0%D1%80%D1%82%D0%B5%D1%80%20%D0%B1%D1%83" TargetMode="External"/><Relationship Id="rId20" Type="http://schemas.openxmlformats.org/officeDocument/2006/relationships/hyperlink" Target="https://baza.drom.ru/sell_spare_parts/+/lada%20niva%20%D0%A1%D1%82%D0%B0%D1%80%D1%82%D0%B5%D1%80%20%D0%B1%D1%83/" TargetMode="External"/><Relationship Id="rId21" Type="http://schemas.openxmlformats.org/officeDocument/2006/relationships/hyperlink" Target="https://www.avito.ru/all/zapchasti_i_aksessuary?q=lada%20niva%20%D0%9A%D0%BE%D0%BC%D0%BF%D1%80%D0%B5%D1%81%D1%81%D0%BE%D1%80%20%D0%BA%D0%BE%D0%BD%D0%B4%D0%B8%D1%86%D0%B8%D0%BE%D0%BD%D0%B5%D1%80%D0%B0%20(%D0%BA%D0%BE%D0%BC%D0%BF%D0%BB%D0%B5%D0%BA%D1%82)%20%D0%B1%D1%83" TargetMode="External"/><Relationship Id="rId22" Type="http://schemas.openxmlformats.org/officeDocument/2006/relationships/hyperlink" Target="https://baza.drom.ru/sell_spare_parts/+/lada%20niva%20%D0%9A%D0%BE%D0%BC%D0%BF%D1%80%D0%B5%D1%81%D1%81%D0%BE%D1%80%20%D0%BA%D0%BE%D0%BD%D0%B4%D0%B8%D1%86%D0%B8%D0%BE%D0%BD%D0%B5%D1%80%D0%B0%20(%D0%BA%D0%BE%D0%BC%D0%BF%D0%BB%D0%B5%D0%BA%D1%82)%20%D0%B1%D1%83/" TargetMode="External"/><Relationship Id="rId23" Type="http://schemas.openxmlformats.org/officeDocument/2006/relationships/hyperlink" Target="https://www.avito.ru/all/zapchasti_i_aksessuary?q=lada%20niva%20%D0%9A%D0%B0%D1%82%D0%B0%D0%BB%D0%B8%D0%B7%D0%B0%D1%82%D0%BE%D1%80%20%D0%B1%D1%83" TargetMode="External"/><Relationship Id="rId24" Type="http://schemas.openxmlformats.org/officeDocument/2006/relationships/hyperlink" Target="https://baza.drom.ru/sell_spare_parts/+/lada%20niva%20%D0%9A%D0%B0%D1%82%D0%B0%D0%BB%D0%B8%D0%B7%D0%B0%D1%82%D0%BE%D1%80%20%D0%B1%D1%83/" TargetMode="External"/><Relationship Id="rId25" Type="http://schemas.openxmlformats.org/officeDocument/2006/relationships/hyperlink" Target="https://www.avito.ru/all/zapchasti_i_aksessuary?q=lada%20niva%20%D0%93%D0%BB%D1%83%D1%88%D0%B8%D1%82%D0%B5%D0%BB%D1%8C%20%D0%B1%D1%83" TargetMode="External"/><Relationship Id="rId26" Type="http://schemas.openxmlformats.org/officeDocument/2006/relationships/hyperlink" Target="https://baza.drom.ru/sell_spare_parts/+/lada%20niva%20%D0%93%D0%BB%D1%83%D1%88%D0%B8%D1%82%D0%B5%D0%BB%D1%8C%20%D0%B1%D1%83/" TargetMode="External"/><Relationship Id="rId27" Type="http://schemas.openxmlformats.org/officeDocument/2006/relationships/hyperlink" Target="https://www.avito.ru/all/zapchasti_i_aksessuary?q=lada%20niva%20%D0%9C%D0%9A%D0%9F%D0%9F%205-%D1%81%D1%82%20%D0%B1%D1%83" TargetMode="External"/><Relationship Id="rId28" Type="http://schemas.openxmlformats.org/officeDocument/2006/relationships/hyperlink" Target="https://baza.drom.ru/sell_spare_parts/+/lada%20niva%20%D0%9C%D0%9A%D0%9F%D0%9F%205-%D1%81%D1%82%20%D0%B1%D1%83/" TargetMode="External"/><Relationship Id="rId29" Type="http://schemas.openxmlformats.org/officeDocument/2006/relationships/hyperlink" Target="https://www.avito.ru/all/zapchasti_i_aksessuary?q=lada%20niva%20%D0%A0%D0%B0%D0%B7%D0%B4%D0%B0%D1%82%D0%BE%D1%87%D0%BD%D0%B0%D1%8F%20%D0%BA%D0%BE%D1%80%D0%BE%D0%B1%D0%BA%D0%B0%20%D0%B1%D1%83" TargetMode="External"/><Relationship Id="rId30" Type="http://schemas.openxmlformats.org/officeDocument/2006/relationships/hyperlink" Target="https://baza.drom.ru/sell_spare_parts/+/lada%20niva%20%D0%A0%D0%B0%D0%B7%D0%B4%D0%B0%D1%82%D0%BE%D1%87%D0%BD%D0%B0%D1%8F%20%D0%BA%D0%BE%D1%80%D0%BE%D0%B1%D0%BA%D0%B0%20%D0%B1%D1%83/" TargetMode="External"/><Relationship Id="rId31" Type="http://schemas.openxmlformats.org/officeDocument/2006/relationships/hyperlink" Target="https://www.avito.ru/all/zapchasti_i_aksessuary?q=lada%20niva%20%D0%A1%D1%86%D0%B5%D0%BF%D0%BB%D0%B5%D0%BD%D0%B8%D0%B5%20(%D0%BA%D0%BE%D1%80%D0%B7%D0%B8%D0%BD%D0%B0)%20%D0%B1%D1%83" TargetMode="External"/><Relationship Id="rId32" Type="http://schemas.openxmlformats.org/officeDocument/2006/relationships/hyperlink" Target="https://baza.drom.ru/sell_spare_parts/+/lada%20niva%20%D0%A1%D1%86%D0%B5%D0%BF%D0%BB%D0%B5%D0%BD%D0%B8%D0%B5%20(%D0%BA%D0%BE%D1%80%D0%B7%D0%B8%D0%BD%D0%B0)%20%D0%B1%D1%83/" TargetMode="External"/><Relationship Id="rId33" Type="http://schemas.openxmlformats.org/officeDocument/2006/relationships/hyperlink" Target="https://www.avito.ru/all/zapchasti_i_aksessuary?q=lada%20niva%20%D0%9F%D0%BE%D0%BB%D1%83%D0%BE%D1%81%D1%8C%20%D0%B1%D1%83" TargetMode="External"/><Relationship Id="rId34" Type="http://schemas.openxmlformats.org/officeDocument/2006/relationships/hyperlink" Target="https://baza.drom.ru/sell_spare_parts/+/lada%20niva%20%D0%9F%D0%BE%D0%BB%D1%83%D0%BE%D1%81%D1%8C%20%D0%B1%D1%83/" TargetMode="External"/><Relationship Id="rId35" Type="http://schemas.openxmlformats.org/officeDocument/2006/relationships/hyperlink" Target="https://www.avito.ru/all/zapchasti_i_aksessuary?q=lada%20niva%20%D0%93%D0%B0%D1%80%D0%BD%D0%B8%D1%82%D1%83%D1%80%D0%B0%20(%D0%A8%D0%A0%D0%A3%D0%A1%20%D0%B2%D0%BD%D1%83%D1%82%D1%80%D0%B5%D0%BD%D0%BD%D0%B8%D0%B9)%20%D0%B1%D1%83" TargetMode="External"/><Relationship Id="rId36" Type="http://schemas.openxmlformats.org/officeDocument/2006/relationships/hyperlink" Target="https://baza.drom.ru/sell_spare_parts/+/lada%20niva%20%D0%93%D0%B0%D1%80%D0%BD%D0%B8%D1%82%D1%83%D1%80%D0%B0%20(%D0%A8%D0%A0%D0%A3%D0%A1%20%D0%B2%D0%BD%D1%83%D1%82%D1%80%D0%B5%D0%BD%D0%BD%D0%B8%D0%B9)%20%D0%B1%D1%83/" TargetMode="External"/><Relationship Id="rId37" Type="http://schemas.openxmlformats.org/officeDocument/2006/relationships/hyperlink" Target="https://www.avito.ru/all/zapchasti_i_aksessuary?q=lada%20niva%20%D0%A0%D0%B5%D0%B4%D1%83%D0%BA%D1%82%D0%BE%D1%80%20%D0%BF%D0%B5%D1%80%D0%B5%D0%B4%D0%BD%D0%B5%D0%B3%D0%BE%20%D0%BC%D0%BE%D1%81%D1%82%D0%B0%20%D0%B1%D1%83" TargetMode="External"/><Relationship Id="rId38" Type="http://schemas.openxmlformats.org/officeDocument/2006/relationships/hyperlink" Target="https://baza.drom.ru/sell_spare_parts/+/lada%20niva%20%D0%A0%D0%B5%D0%B4%D1%83%D0%BA%D1%82%D0%BE%D1%80%20%D0%BF%D0%B5%D1%80%D0%B5%D0%B4%D0%BD%D0%B5%D0%B3%D0%BE%20%D0%BC%D0%BE%D1%81%D1%82%D0%B0%20%D0%B1%D1%83/" TargetMode="External"/><Relationship Id="rId39" Type="http://schemas.openxmlformats.org/officeDocument/2006/relationships/hyperlink" Target="https://www.avito.ru/all/zapchasti_i_aksessuary?q=lada%20niva%20%D0%9A%D0%B0%D1%80%D0%B4%D0%B0%D0%BD%D0%BD%D1%8B%D0%B9%20%D0%B2%D0%B0%D0%BB%20%D0%B1%D1%83" TargetMode="External"/><Relationship Id="rId40" Type="http://schemas.openxmlformats.org/officeDocument/2006/relationships/hyperlink" Target="https://baza.drom.ru/sell_spare_parts/+/lada%20niva%20%D0%9A%D0%B0%D1%80%D0%B4%D0%B0%D0%BD%D0%BD%D1%8B%D0%B9%20%D0%B2%D0%B0%D0%BB%20%D0%B1%D1%83/" TargetMode="External"/><Relationship Id="rId41" Type="http://schemas.openxmlformats.org/officeDocument/2006/relationships/hyperlink" Target="https://www.avito.ru/all/zapchasti_i_aksessuary?q=lada%20niva%20%D0%A0%D1%8B%D1%87%D0%B0%D0%B3%20%D0%BF%D0%BE%D0%B4%D0%B2%D0%B5%D1%81%D0%BA%D0%B8%20%D0%B1%D1%83" TargetMode="External"/><Relationship Id="rId42" Type="http://schemas.openxmlformats.org/officeDocument/2006/relationships/hyperlink" Target="https://baza.drom.ru/sell_spare_parts/+/lada%20niva%20%D0%A0%D1%8B%D1%87%D0%B0%D0%B3%20%D0%BF%D0%BE%D0%B4%D0%B2%D0%B5%D1%81%D0%BA%D0%B8%20%D0%B1%D1%83/" TargetMode="External"/><Relationship Id="rId43" Type="http://schemas.openxmlformats.org/officeDocument/2006/relationships/hyperlink" Target="https://www.avito.ru/all/zapchasti_i_aksessuary?q=lada%20niva%20%D0%90%D0%BC%D0%BE%D1%80%D1%82%D0%B8%D0%B7%D0%B0%D1%82%D0%BE%D1%80%20%D0%BF%D0%B5%D1%80%D0%B5%D0%B4%D0%BD%D0%B8%D0%B9%2F%D0%B7%D0%B0%D0%B4%D0%BD%D0%B8%D0%B9%20%D0%B1%D1%83" TargetMode="External"/><Relationship Id="rId44" Type="http://schemas.openxmlformats.org/officeDocument/2006/relationships/hyperlink" Target="https://baza.drom.ru/sell_spare_parts/+/lada%20niva%20%D0%90%D0%BC%D0%BE%D1%80%D1%82%D0%B8%D0%B7%D0%B0%D1%82%D0%BE%D1%80%20%D0%BF%D0%B5%D1%80%D0%B5%D0%B4%D0%BD%D0%B8%D0%B9%2F%D0%B7%D0%B0%D0%B4%D0%BD%D0%B8%D0%B9%20%D0%B1%D1%83/" TargetMode="External"/><Relationship Id="rId45" Type="http://schemas.openxmlformats.org/officeDocument/2006/relationships/hyperlink" Target="https://www.avito.ru/all/zapchasti_i_aksessuary?q=lada%20niva%20%D0%A2%D1%8F%D0%B3%D0%B0%20%D1%80%D1%83%D0%BB%D0%B5%D0%B2%D0%B0%D1%8F%20%D0%BF%D0%BE%D0%BF%D0%B5%D1%80%D0%B5%D1%87%D0%BD%D0%B0%D1%8F%20%D0%B1%D1%83" TargetMode="External"/><Relationship Id="rId46" Type="http://schemas.openxmlformats.org/officeDocument/2006/relationships/hyperlink" Target="https://baza.drom.ru/sell_spare_parts/+/lada%20niva%20%D0%A2%D1%8F%D0%B3%D0%B0%20%D1%80%D1%83%D0%BB%D0%B5%D0%B2%D0%B0%D1%8F%20%D0%BF%D0%BE%D0%BF%D0%B5%D1%80%D0%B5%D1%87%D0%BD%D0%B0%D1%8F%20%D0%B1%D1%83/" TargetMode="External"/><Relationship Id="rId47" Type="http://schemas.openxmlformats.org/officeDocument/2006/relationships/hyperlink" Target="https://www.avito.ru/all/zapchasti_i_aksessuary?q=lada%20niva%20%D0%A0%D1%83%D0%BB%D0%B5%D0%B2%D0%BE%D0%B9%20%D0%BD%D0%B0%D0%BA%D0%BE%D0%BD%D0%B5%D1%87%D0%BD%D0%B8%D0%BA%20%D0%B1%D1%83" TargetMode="External"/><Relationship Id="rId48" Type="http://schemas.openxmlformats.org/officeDocument/2006/relationships/hyperlink" Target="https://baza.drom.ru/sell_spare_parts/+/lada%20niva%20%D0%A0%D1%83%D0%BB%D0%B5%D0%B2%D0%BE%D0%B9%20%D0%BD%D0%B0%D0%BA%D0%BE%D0%BD%D0%B5%D1%87%D0%BD%D0%B8%D0%BA%20%D0%B1%D1%83/" TargetMode="External"/><Relationship Id="rId49" Type="http://schemas.openxmlformats.org/officeDocument/2006/relationships/hyperlink" Target="https://www.avito.ru/all/zapchasti_i_aksessuary?q=lada%20niva%20%D0%A1%D1%83%D0%BF%D0%BF%D0%BE%D1%80%D1%82%20%D0%BF%D0%B5%D1%80%D0%B5%D0%B4%D0%BD%D0%B8%D0%B9%20%D0%B1%D1%83" TargetMode="External"/><Relationship Id="rId50" Type="http://schemas.openxmlformats.org/officeDocument/2006/relationships/hyperlink" Target="https://baza.drom.ru/sell_spare_parts/+/lada%20niva%20%D0%A1%D1%83%D0%BF%D0%BF%D0%BE%D1%80%D1%82%20%D0%BF%D0%B5%D1%80%D0%B5%D0%B4%D0%BD%D0%B8%D0%B9%20%D0%B1%D1%83/" TargetMode="External"/><Relationship Id="rId51" Type="http://schemas.openxmlformats.org/officeDocument/2006/relationships/hyperlink" Target="https://www.avito.ru/all/zapchasti_i_aksessuary?q=lada%20niva%20%D0%91%D0%B0%D1%80%D0%B0%D0%B1%D0%B0%D0%BD%20%D1%82%D0%BE%D1%80%D0%BC%D0%BE%D0%B7%D0%BD%D0%BE%D0%B9%20%D0%B1%D1%83" TargetMode="External"/><Relationship Id="rId52" Type="http://schemas.openxmlformats.org/officeDocument/2006/relationships/hyperlink" Target="https://baza.drom.ru/sell_spare_parts/+/lada%20niva%20%D0%91%D0%B0%D1%80%D0%B0%D0%B1%D0%B0%D0%BD%20%D1%82%D0%BE%D1%80%D0%BC%D0%BE%D0%B7%D0%BD%D0%BE%D0%B9%20%D0%B1%D1%83/" TargetMode="External"/><Relationship Id="rId53" Type="http://schemas.openxmlformats.org/officeDocument/2006/relationships/hyperlink" Target="https://www.avito.ru/all/zapchasti_i_aksessuary?q=lada%20niva%20%D0%A4%D0%B0%D1%80%D0%B0%20%D0%BF%D0%B5%D1%80%D0%B5%D0%B4%D0%BD%D1%8F%D1%8F%20%D0%B1%D1%83" TargetMode="External"/><Relationship Id="rId54" Type="http://schemas.openxmlformats.org/officeDocument/2006/relationships/hyperlink" Target="https://baza.drom.ru/sell_spare_parts/+/lada%20niva%20%D0%A4%D0%B0%D1%80%D0%B0%20%D0%BF%D0%B5%D1%80%D0%B5%D0%B4%D0%BD%D1%8F%D1%8F%20%D0%B1%D1%83/" TargetMode="External"/><Relationship Id="rId55" Type="http://schemas.openxmlformats.org/officeDocument/2006/relationships/hyperlink" Target="https://www.avito.ru/all/zapchasti_i_aksessuary?q=lada%20niva%20%D0%A4%D0%BE%D0%BD%D0%B0%D1%80%D1%8C%20%D0%B7%D0%B0%D0%B4%D0%BD%D0%B8%D0%B9%20%D0%B1%D1%83" TargetMode="External"/><Relationship Id="rId56" Type="http://schemas.openxmlformats.org/officeDocument/2006/relationships/hyperlink" Target="https://baza.drom.ru/sell_spare_parts/+/lada%20niva%20%D0%A4%D0%BE%D0%BD%D0%B0%D1%80%D1%8C%20%D0%B7%D0%B0%D0%B4%D0%BD%D0%B8%D0%B9%20%D0%B1%D1%83/" TargetMode="External"/><Relationship Id="rId57" Type="http://schemas.openxmlformats.org/officeDocument/2006/relationships/hyperlink" Target="https://www.avito.ru/all/zapchasti_i_aksessuary?q=lada%20niva%20%D0%9A%D0%B0%D0%BF%D0%BE%D1%82%20%D0%B1%D1%83" TargetMode="External"/><Relationship Id="rId58" Type="http://schemas.openxmlformats.org/officeDocument/2006/relationships/hyperlink" Target="https://baza.drom.ru/sell_spare_parts/+/lada%20niva%20%D0%9A%D0%B0%D0%BF%D0%BE%D1%82%20%D0%B1%D1%83/" TargetMode="External"/><Relationship Id="rId59" Type="http://schemas.openxmlformats.org/officeDocument/2006/relationships/hyperlink" Target="https://www.avito.ru/all/zapchasti_i_aksessuary?q=lada%20niva%20%D0%9A%D1%80%D1%8B%D0%BB%D0%BE%20%D0%B1%D1%83" TargetMode="External"/><Relationship Id="rId60" Type="http://schemas.openxmlformats.org/officeDocument/2006/relationships/hyperlink" Target="https://baza.drom.ru/sell_spare_parts/+/lada%20niva%20%D0%9A%D1%80%D1%8B%D0%BB%D0%BE%20%D0%B1%D1%83/" TargetMode="External"/><Relationship Id="rId61" Type="http://schemas.openxmlformats.org/officeDocument/2006/relationships/hyperlink" Target="https://www.avito.ru/all/zapchasti_i_aksessuary?q=lada%20niva%20%D0%91%D0%B0%D0%BC%D0%BF%D0%B5%D1%80%20%D0%B7%D0%B0%D0%B4%D0%BD%D0%B8%D0%B9%20%D0%B1%D1%83" TargetMode="External"/><Relationship Id="rId62" Type="http://schemas.openxmlformats.org/officeDocument/2006/relationships/hyperlink" Target="https://baza.drom.ru/sell_spare_parts/+/lada%20niva%20%D0%91%D0%B0%D0%BC%D0%BF%D0%B5%D1%80%20%D0%B7%D0%B0%D0%B4%D0%BD%D0%B8%D0%B9%20%D0%B1%D1%83/" TargetMode="External"/><Relationship Id="rId63" Type="http://schemas.openxmlformats.org/officeDocument/2006/relationships/hyperlink" Target="https://www.avito.ru/all/zapchasti_i_aksessuary?q=lada%20niva%20%D0%94%D0%B2%D0%B5%D1%80%D1%8C%20%D0%BF%D0%B5%D1%80%D0%B5%D0%B4%D0%BD%D1%8F%D1%8F%20%D0%B1%D1%83" TargetMode="External"/><Relationship Id="rId64" Type="http://schemas.openxmlformats.org/officeDocument/2006/relationships/hyperlink" Target="https://baza.drom.ru/sell_spare_parts/+/lada%20niva%20%D0%94%D0%B2%D0%B5%D1%80%D1%8C%20%D0%BF%D0%B5%D1%80%D0%B5%D0%B4%D0%BD%D1%8F%D1%8F%20%D0%B1%D1%83/" TargetMode="External"/><Relationship Id="rId65" Type="http://schemas.openxmlformats.org/officeDocument/2006/relationships/hyperlink" Target="https://www.avito.ru/all/zapchasti_i_aksessuary?q=lada%20niva%20%D0%9F%D0%B0%D0%BD%D0%B5%D0%BB%D1%8C%20%D0%BF%D1%80%D0%B8%D0%B1%D0%BE%D1%80%D0%BE%D0%B2%20%D0%B1%D1%83" TargetMode="External"/><Relationship Id="rId66" Type="http://schemas.openxmlformats.org/officeDocument/2006/relationships/hyperlink" Target="https://baza.drom.ru/sell_spare_parts/+/lada%20niva%20%D0%9F%D0%B0%D0%BD%D0%B5%D0%BB%D1%8C%20%D0%BF%D1%80%D0%B8%D0%B1%D0%BE%D1%80%D0%BE%D0%B2%20%D0%B1%D1%83/" TargetMode="External"/><Relationship Id="rId67" Type="http://schemas.openxmlformats.org/officeDocument/2006/relationships/hyperlink" Target="https://www.avito.ru/all/zapchasti_i_aksessuary?q=lada%20niva%20%D0%9C%D0%BE%D1%82%D0%BE%D1%80%20%D1%81%D1%82%D0%B5%D0%BA%D0%BB%D0%BE%D0%BF%D0%BE%D0%B4%D1%8A%D1%91%D0%BC%D0%BD%D0%B8%D0%BA%D0%B0%20%D0%B1%D1%83" TargetMode="External"/><Relationship Id="rId68" Type="http://schemas.openxmlformats.org/officeDocument/2006/relationships/hyperlink" Target="https://baza.drom.ru/sell_spare_parts/+/lada%20niva%20%D0%9C%D0%BE%D1%82%D0%BE%D1%80%20%D1%81%D1%82%D0%B5%D0%BA%D0%BB%D0%BE%D0%BF%D0%BE%D0%B4%D1%8A%D1%91%D0%BC%D0%BD%D0%B8%D0%BA%D0%B0%20%D0%B1%D1%83/" TargetMode="External"/><Relationship Id="rId69" Type="http://schemas.openxmlformats.org/officeDocument/2006/relationships/hyperlink" Target="https://www.avito.ru/all/zapchasti_i_aksessuary?q=lada%20niva%20%D0%9C%D0%BE%D1%82%D0%BE%D1%80%20%D0%BF%D0%B5%D1%87%D0%BA%D0%B8%20%D0%B1%D1%83" TargetMode="External"/><Relationship Id="rId70" Type="http://schemas.openxmlformats.org/officeDocument/2006/relationships/hyperlink" Target="https://baza.drom.ru/sell_spare_parts/+/lada%20niva%20%D0%9C%D0%BE%D1%82%D0%BE%D1%80%20%D0%BF%D0%B5%D1%87%D0%BA%D0%B8%20%D0%B1%D1%83/" TargetMode="External"/><Relationship Id="rId71" Type="http://schemas.openxmlformats.org/officeDocument/2006/relationships/hyperlink" Target="https://www.avito.ru/all/zapchasti_i_aksessuary?q=lada%20niva%20%D0%A1%D0%B8%D0%B4%D0%B5%D0%BD%D1%8C%D1%8F%20%D0%BF%D0%B5%D1%80%D0%B5%D0%B4%D0%BD%D0%B8%D0%B5%20(%D0%BA%D0%BE%D0%BC%D0%BF%D0%BB%D0%B5%D0%BA%D1%82)%20%D0%B1%D1%83" TargetMode="External"/><Relationship Id="rId72" Type="http://schemas.openxmlformats.org/officeDocument/2006/relationships/hyperlink" Target="https://baza.drom.ru/sell_spare_parts/+/lada%20niva%20%D0%A1%D0%B8%D0%B4%D0%B5%D0%BD%D1%8C%D1%8F%20%D0%BF%D0%B5%D1%80%D0%B5%D0%B4%D0%BD%D0%B8%D0%B5%20(%D0%BA%D0%BE%D0%BC%D0%BF%D0%BB%D0%B5%D0%BA%D1%82)%20%D0%B1%D1%83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celprice.ru" TargetMode="External"/><Relationship Id="rId2" Type="http://schemas.openxmlformats.org/officeDocument/2006/relationships/hyperlink" Target="https://t.me/Excelprice" TargetMode="External"/><Relationship Id="rId3" Type="http://schemas.openxmlformats.org/officeDocument/2006/relationships/hyperlink" Target="https://wa.me/79000004469" TargetMode="External"/><Relationship Id="rId4" Type="http://schemas.openxmlformats.org/officeDocument/2006/relationships/hyperlink" Target="mailto:dot.akc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COUNTA('Прайс'!$C$4:$C$39)</f>
        <v>36</v>
      </c>
      <c r="C4" s="4">
        <f>COUNTA('Дашборд'!$B$9:$B$15)</f>
        <v>7</v>
      </c>
      <c r="E4" s="4">
        <f>COUNT('Прайс'!$E$4:$E$39)</f>
        <v>36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COUNTIF('Прайс'!$B$4:$B$39,A10)</f>
        <v>13</v>
      </c>
      <c r="C10" s="9">
        <f>AVERAGEIF('Прайс'!$B$4:$B$39,A10,'Прайс'!$E$4:$E$39)</f>
        <v>6685</v>
      </c>
      <c r="D10" s="9">
        <f>AVERAGEIF('Прайс'!$B$4:$B$39,A10,'Прайс'!$F$4:$F$39)</f>
        <v>11823</v>
      </c>
      <c r="E10" s="9">
        <f>ROUND((C10+D10)/2,0)</f>
        <v>9254</v>
      </c>
      <c r="F10" s="9">
        <f>D10-C10</f>
        <v>5138</v>
      </c>
    </row>
    <row r="11" spans="1:6" x14ac:dyDescent="0.25">
      <c r="A11" s="7" t="s">
        <v>13</v>
      </c>
      <c r="B11" s="8">
        <f>COUNTIF('Прайс'!$B$4:$B$39,A11)</f>
        <v>7</v>
      </c>
      <c r="C11" s="9">
        <f>AVERAGEIF('Прайс'!$B$4:$B$39,A11,'Прайс'!$E$4:$E$39)</f>
        <v>4471</v>
      </c>
      <c r="D11" s="9">
        <f>AVERAGEIF('Прайс'!$B$4:$B$39,A11,'Прайс'!$F$4:$F$39)</f>
        <v>9164</v>
      </c>
      <c r="E11" s="9">
        <f>ROUND((C11+D11)/2,0)</f>
        <v>6818</v>
      </c>
      <c r="F11" s="9">
        <f>D11-C11</f>
        <v>4693</v>
      </c>
    </row>
    <row r="12" spans="1:6" x14ac:dyDescent="0.25">
      <c r="A12" s="7" t="s">
        <v>14</v>
      </c>
      <c r="B12" s="8">
        <f>COUNTIF('Прайс'!$B$4:$B$39,A12)</f>
        <v>4</v>
      </c>
      <c r="C12" s="9">
        <f>AVERAGEIF('Прайс'!$B$4:$B$39,A12,'Прайс'!$E$4:$E$39)</f>
        <v>525</v>
      </c>
      <c r="D12" s="9">
        <f>AVERAGEIF('Прайс'!$B$4:$B$39,A12,'Прайс'!$F$4:$F$39)</f>
        <v>977</v>
      </c>
      <c r="E12" s="9">
        <f>ROUND((C12+D12)/2,0)</f>
        <v>751</v>
      </c>
      <c r="F12" s="9">
        <f>D12-C12</f>
        <v>452</v>
      </c>
    </row>
    <row r="13" spans="1:6" x14ac:dyDescent="0.25">
      <c r="A13" s="7" t="s">
        <v>15</v>
      </c>
      <c r="B13" s="8">
        <f>COUNTIF('Прайс'!$B$4:$B$39,A13)</f>
        <v>2</v>
      </c>
      <c r="C13" s="9">
        <f>AVERAGEIF('Прайс'!$B$4:$B$39,A13,'Прайс'!$E$4:$E$39)</f>
        <v>900</v>
      </c>
      <c r="D13" s="9">
        <f>AVERAGEIF('Прайс'!$B$4:$B$39,A13,'Прайс'!$F$4:$F$39)</f>
        <v>2395</v>
      </c>
      <c r="E13" s="9">
        <f>ROUND((C13+D13)/2,0)</f>
        <v>1648</v>
      </c>
      <c r="F13" s="9">
        <f>D13-C13</f>
        <v>1495</v>
      </c>
    </row>
    <row r="14" spans="1:6" x14ac:dyDescent="0.25">
      <c r="A14" s="7" t="s">
        <v>16</v>
      </c>
      <c r="B14" s="8">
        <f>COUNTIF('Прайс'!$B$4:$B$39,A14)</f>
        <v>6</v>
      </c>
      <c r="C14" s="9">
        <f>AVERAGEIF('Прайс'!$B$4:$B$39,A14,'Прайс'!$E$4:$E$39)</f>
        <v>1683</v>
      </c>
      <c r="D14" s="9">
        <f>AVERAGEIF('Прайс'!$B$4:$B$39,A14,'Прайс'!$F$4:$F$39)</f>
        <v>2517</v>
      </c>
      <c r="E14" s="9">
        <f>ROUND((C14+D14)/2,0)</f>
        <v>2100</v>
      </c>
      <c r="F14" s="9">
        <f>D14-C14</f>
        <v>834</v>
      </c>
    </row>
    <row r="15" spans="1:6" x14ac:dyDescent="0.25">
      <c r="A15" s="7" t="s">
        <v>17</v>
      </c>
      <c r="B15" s="8">
        <f>COUNTIF('Прайс'!$B$4:$B$39,A15)</f>
        <v>3</v>
      </c>
      <c r="C15" s="9">
        <f>AVERAGEIF('Прайс'!$B$4:$B$39,A15,'Прайс'!$E$4:$E$39)</f>
        <v>1350</v>
      </c>
      <c r="D15" s="9">
        <f>AVERAGEIF('Прайс'!$B$4:$B$39,A15,'Прайс'!$F$4:$F$39)</f>
        <v>2017</v>
      </c>
      <c r="E15" s="9">
        <f>ROUND((C15+D15)/2,0)</f>
        <v>1684</v>
      </c>
      <c r="F15" s="9">
        <f>D15-C15</f>
        <v>667</v>
      </c>
    </row>
    <row r="16" spans="1:6" x14ac:dyDescent="0.25">
      <c r="A16" s="7" t="s">
        <v>18</v>
      </c>
      <c r="B16" s="8">
        <f>COUNTIF('Прайс'!$B$4:$B$39,A16)</f>
        <v>1</v>
      </c>
      <c r="C16" s="9">
        <f>AVERAGEIF('Прайс'!$B$4:$B$39,A16,'Прайс'!$E$4:$E$39)</f>
        <v>20000</v>
      </c>
      <c r="D16" s="9">
        <f>AVERAGEIF('Прайс'!$B$4:$B$39,A16,'Прайс'!$F$4:$F$39)</f>
        <v>20000</v>
      </c>
      <c r="E16" s="9">
        <f>ROUND((C16+D16)/2,0)</f>
        <v>20000</v>
      </c>
      <c r="F16" s="9">
        <f>D16-C16</f>
        <v>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{9D7128EA-BB99-4C73-91DF-75EF1B48666E}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12</v>
      </c>
      <c r="C4" s="7" t="s">
        <v>32</v>
      </c>
      <c r="D4" s="7" t="s">
        <v>33</v>
      </c>
      <c r="E4" s="9">
        <v>25000</v>
      </c>
      <c r="F4" s="9">
        <v>56000</v>
      </c>
      <c r="G4" s="9">
        <f>ROUND((E4+F4)/2,0)</f>
        <v>40500</v>
      </c>
      <c r="H4" s="12" t="s">
        <v>34</v>
      </c>
      <c r="I4" s="9">
        <f>E4</f>
        <v>25000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12</v>
      </c>
      <c r="C5" s="7" t="s">
        <v>35</v>
      </c>
      <c r="D5" s="7" t="s">
        <v>36</v>
      </c>
      <c r="E5" s="9">
        <v>20000</v>
      </c>
      <c r="F5" s="9">
        <v>20000</v>
      </c>
      <c r="G5" s="9">
        <f>ROUND((E5+F5)/2,0)</f>
        <v>20000</v>
      </c>
      <c r="H5" s="12" t="s">
        <v>37</v>
      </c>
      <c r="I5" s="9">
        <f>E5</f>
        <v>20000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12</v>
      </c>
      <c r="C6" s="7" t="s">
        <v>38</v>
      </c>
      <c r="D6" s="7" t="s">
        <v>39</v>
      </c>
      <c r="E6" s="9">
        <v>5000</v>
      </c>
      <c r="F6" s="9">
        <v>25000</v>
      </c>
      <c r="G6" s="9">
        <f>ROUND((E6+F6)/2,0)</f>
        <v>15000</v>
      </c>
      <c r="H6" s="12" t="s">
        <v>34</v>
      </c>
      <c r="I6" s="9">
        <f>E6</f>
        <v>5000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12</v>
      </c>
      <c r="C7" s="7" t="s">
        <v>40</v>
      </c>
      <c r="D7" s="7" t="s">
        <v>41</v>
      </c>
      <c r="E7" s="9">
        <v>1000</v>
      </c>
      <c r="F7" s="9">
        <v>1000</v>
      </c>
      <c r="G7" s="9">
        <f>ROUND((E7+F7)/2,0)</f>
        <v>1000</v>
      </c>
      <c r="H7" s="12" t="s">
        <v>34</v>
      </c>
      <c r="I7" s="9">
        <f>E7</f>
        <v>1000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12</v>
      </c>
      <c r="C8" s="7" t="s">
        <v>42</v>
      </c>
      <c r="D8" s="7" t="s">
        <v>43</v>
      </c>
      <c r="E8" s="9">
        <v>600</v>
      </c>
      <c r="F8" s="9">
        <v>600</v>
      </c>
      <c r="G8" s="9">
        <f>ROUND((E8+F8)/2,0)</f>
        <v>600</v>
      </c>
      <c r="H8" s="12" t="s">
        <v>44</v>
      </c>
      <c r="I8" s="9">
        <f>E8</f>
        <v>600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12</v>
      </c>
      <c r="C9" s="7" t="s">
        <v>45</v>
      </c>
      <c r="D9" s="7" t="s">
        <v>46</v>
      </c>
      <c r="E9" s="9">
        <v>1000</v>
      </c>
      <c r="F9" s="9">
        <v>3000</v>
      </c>
      <c r="G9" s="9">
        <f>ROUND((E9+F9)/2,0)</f>
        <v>2000</v>
      </c>
      <c r="H9" s="12" t="s">
        <v>34</v>
      </c>
      <c r="I9" s="9">
        <f>E9</f>
        <v>1000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12</v>
      </c>
      <c r="C10" s="7" t="s">
        <v>47</v>
      </c>
      <c r="D10" s="7" t="s">
        <v>48</v>
      </c>
      <c r="E10" s="9">
        <v>500</v>
      </c>
      <c r="F10" s="9">
        <v>1000</v>
      </c>
      <c r="G10" s="9">
        <f>ROUND((E10+F10)/2,0)</f>
        <v>750</v>
      </c>
      <c r="H10" s="12" t="s">
        <v>34</v>
      </c>
      <c r="I10" s="9">
        <f>E10</f>
        <v>500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12</v>
      </c>
      <c r="C11" s="7" t="s">
        <v>49</v>
      </c>
      <c r="D11" s="7" t="s">
        <v>43</v>
      </c>
      <c r="E11" s="9">
        <v>1800</v>
      </c>
      <c r="F11" s="9">
        <v>3300</v>
      </c>
      <c r="G11" s="9">
        <f>ROUND((E11+F11)/2,0)</f>
        <v>2550</v>
      </c>
      <c r="H11" s="12" t="s">
        <v>34</v>
      </c>
      <c r="I11" s="9">
        <f>E11</f>
        <v>1800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12</v>
      </c>
      <c r="C12" s="7" t="s">
        <v>50</v>
      </c>
      <c r="D12" s="7" t="s">
        <v>51</v>
      </c>
      <c r="E12" s="9">
        <v>3500</v>
      </c>
      <c r="F12" s="9">
        <v>6000</v>
      </c>
      <c r="G12" s="9">
        <f>ROUND((E12+F12)/2,0)</f>
        <v>4750</v>
      </c>
      <c r="H12" s="12" t="s">
        <v>34</v>
      </c>
      <c r="I12" s="9">
        <f>E12</f>
        <v>3500</v>
      </c>
      <c r="J12" s="13" t="s">
        <v>30</v>
      </c>
      <c r="K12" s="14" t="s">
        <v>31</v>
      </c>
    </row>
    <row r="13" ht="24" customHeight="1" spans="1:11" x14ac:dyDescent="0.25">
      <c r="A13" s="11">
        <v>10</v>
      </c>
      <c r="B13" s="7" t="s">
        <v>12</v>
      </c>
      <c r="C13" s="7" t="s">
        <v>52</v>
      </c>
      <c r="D13" s="7" t="s">
        <v>43</v>
      </c>
      <c r="E13" s="9">
        <v>1500</v>
      </c>
      <c r="F13" s="9">
        <v>1500</v>
      </c>
      <c r="G13" s="9">
        <f>ROUND((E13+F13)/2,0)</f>
        <v>1500</v>
      </c>
      <c r="H13" s="12" t="s">
        <v>53</v>
      </c>
      <c r="I13" s="9">
        <f>E13</f>
        <v>1500</v>
      </c>
      <c r="J13" s="13" t="s">
        <v>30</v>
      </c>
      <c r="K13" s="14" t="s">
        <v>31</v>
      </c>
    </row>
    <row r="14" ht="24" customHeight="1" spans="1:11" x14ac:dyDescent="0.25">
      <c r="A14" s="11">
        <v>11</v>
      </c>
      <c r="B14" s="7" t="s">
        <v>12</v>
      </c>
      <c r="C14" s="7" t="s">
        <v>54</v>
      </c>
      <c r="D14" s="7" t="s">
        <v>55</v>
      </c>
      <c r="E14" s="9">
        <v>25000</v>
      </c>
      <c r="F14" s="9">
        <v>25000</v>
      </c>
      <c r="G14" s="9">
        <f>ROUND((E14+F14)/2,0)</f>
        <v>25000</v>
      </c>
      <c r="H14" s="12" t="s">
        <v>34</v>
      </c>
      <c r="I14" s="9">
        <f>E14</f>
        <v>25000</v>
      </c>
      <c r="J14" s="13" t="s">
        <v>30</v>
      </c>
      <c r="K14" s="14" t="s">
        <v>31</v>
      </c>
    </row>
    <row r="15" ht="24" customHeight="1" spans="1:11" x14ac:dyDescent="0.25">
      <c r="A15" s="11">
        <v>12</v>
      </c>
      <c r="B15" s="7" t="s">
        <v>12</v>
      </c>
      <c r="C15" s="7" t="s">
        <v>56</v>
      </c>
      <c r="D15" s="7" t="s">
        <v>57</v>
      </c>
      <c r="E15" s="9">
        <v>1500</v>
      </c>
      <c r="F15" s="9">
        <v>8500</v>
      </c>
      <c r="G15" s="9">
        <f>ROUND((E15+F15)/2,0)</f>
        <v>5000</v>
      </c>
      <c r="H15" s="12" t="s">
        <v>34</v>
      </c>
      <c r="I15" s="9">
        <f>E15</f>
        <v>1500</v>
      </c>
      <c r="J15" s="13" t="s">
        <v>30</v>
      </c>
      <c r="K15" s="14" t="s">
        <v>31</v>
      </c>
    </row>
    <row r="16" ht="24" customHeight="1" spans="1:11" x14ac:dyDescent="0.25">
      <c r="A16" s="11">
        <v>13</v>
      </c>
      <c r="B16" s="7" t="s">
        <v>12</v>
      </c>
      <c r="C16" s="7" t="s">
        <v>58</v>
      </c>
      <c r="D16" s="7" t="s">
        <v>43</v>
      </c>
      <c r="E16" s="9">
        <v>500</v>
      </c>
      <c r="F16" s="9">
        <v>2800</v>
      </c>
      <c r="G16" s="9">
        <f>ROUND((E16+F16)/2,0)</f>
        <v>1650</v>
      </c>
      <c r="H16" s="12" t="s">
        <v>34</v>
      </c>
      <c r="I16" s="9">
        <f>E16</f>
        <v>500</v>
      </c>
      <c r="J16" s="13" t="s">
        <v>30</v>
      </c>
      <c r="K16" s="14" t="s">
        <v>31</v>
      </c>
    </row>
    <row r="17" ht="24" customHeight="1" spans="1:11" x14ac:dyDescent="0.25">
      <c r="A17" s="11">
        <v>14</v>
      </c>
      <c r="B17" s="7" t="s">
        <v>13</v>
      </c>
      <c r="C17" s="7" t="s">
        <v>59</v>
      </c>
      <c r="D17" s="7" t="s">
        <v>60</v>
      </c>
      <c r="E17" s="9">
        <v>8000</v>
      </c>
      <c r="F17" s="9">
        <v>38950</v>
      </c>
      <c r="G17" s="9">
        <f>ROUND((E17+F17)/2,0)</f>
        <v>23475</v>
      </c>
      <c r="H17" s="12" t="s">
        <v>61</v>
      </c>
      <c r="I17" s="9">
        <f>E17</f>
        <v>8000</v>
      </c>
      <c r="J17" s="13" t="s">
        <v>30</v>
      </c>
      <c r="K17" s="14" t="s">
        <v>31</v>
      </c>
    </row>
    <row r="18" ht="24" customHeight="1" spans="1:11" x14ac:dyDescent="0.25">
      <c r="A18" s="11">
        <v>15</v>
      </c>
      <c r="B18" s="7" t="s">
        <v>13</v>
      </c>
      <c r="C18" s="7" t="s">
        <v>62</v>
      </c>
      <c r="D18" s="7" t="s">
        <v>63</v>
      </c>
      <c r="E18" s="9">
        <v>7000</v>
      </c>
      <c r="F18" s="9">
        <v>8000</v>
      </c>
      <c r="G18" s="9">
        <f>ROUND((E18+F18)/2,0)</f>
        <v>7500</v>
      </c>
      <c r="H18" s="12" t="s">
        <v>34</v>
      </c>
      <c r="I18" s="9">
        <f>E18</f>
        <v>7000</v>
      </c>
      <c r="J18" s="13" t="s">
        <v>30</v>
      </c>
      <c r="K18" s="14" t="s">
        <v>31</v>
      </c>
    </row>
    <row r="19" ht="24" customHeight="1" spans="1:11" x14ac:dyDescent="0.25">
      <c r="A19" s="11">
        <v>16</v>
      </c>
      <c r="B19" s="7" t="s">
        <v>13</v>
      </c>
      <c r="C19" s="7" t="s">
        <v>64</v>
      </c>
      <c r="D19" s="7" t="s">
        <v>43</v>
      </c>
      <c r="E19" s="9">
        <v>600</v>
      </c>
      <c r="F19" s="9">
        <v>600</v>
      </c>
      <c r="G19" s="9">
        <f>ROUND((E19+F19)/2,0)</f>
        <v>600</v>
      </c>
      <c r="H19" s="12" t="s">
        <v>34</v>
      </c>
      <c r="I19" s="9">
        <f>E19</f>
        <v>600</v>
      </c>
      <c r="J19" s="13" t="s">
        <v>30</v>
      </c>
      <c r="K19" s="14" t="s">
        <v>31</v>
      </c>
    </row>
    <row r="20" ht="24" customHeight="1" spans="1:11" x14ac:dyDescent="0.25">
      <c r="A20" s="11">
        <v>17</v>
      </c>
      <c r="B20" s="7" t="s">
        <v>13</v>
      </c>
      <c r="C20" s="7" t="s">
        <v>65</v>
      </c>
      <c r="D20" s="7" t="s">
        <v>43</v>
      </c>
      <c r="E20" s="9">
        <v>1800</v>
      </c>
      <c r="F20" s="9">
        <v>1800</v>
      </c>
      <c r="G20" s="9">
        <f>ROUND((E20+F20)/2,0)</f>
        <v>1800</v>
      </c>
      <c r="H20" s="12" t="s">
        <v>66</v>
      </c>
      <c r="I20" s="9">
        <f>E20</f>
        <v>1800</v>
      </c>
      <c r="J20" s="13" t="s">
        <v>30</v>
      </c>
      <c r="K20" s="14" t="s">
        <v>31</v>
      </c>
    </row>
    <row r="21" ht="24" customHeight="1" spans="1:11" x14ac:dyDescent="0.25">
      <c r="A21" s="11">
        <v>18</v>
      </c>
      <c r="B21" s="7" t="s">
        <v>13</v>
      </c>
      <c r="C21" s="7" t="s">
        <v>67</v>
      </c>
      <c r="D21" s="7" t="s">
        <v>43</v>
      </c>
      <c r="E21" s="9">
        <v>1800</v>
      </c>
      <c r="F21" s="9">
        <v>1800</v>
      </c>
      <c r="G21" s="9">
        <f>ROUND((E21+F21)/2,0)</f>
        <v>1800</v>
      </c>
      <c r="H21" s="12" t="s">
        <v>68</v>
      </c>
      <c r="I21" s="9">
        <f>E21</f>
        <v>1800</v>
      </c>
      <c r="J21" s="13" t="s">
        <v>30</v>
      </c>
      <c r="K21" s="14" t="s">
        <v>31</v>
      </c>
    </row>
    <row r="22" ht="24" customHeight="1" spans="1:11" x14ac:dyDescent="0.25">
      <c r="A22" s="11">
        <v>19</v>
      </c>
      <c r="B22" s="7" t="s">
        <v>13</v>
      </c>
      <c r="C22" s="7" t="s">
        <v>69</v>
      </c>
      <c r="D22" s="7" t="s">
        <v>43</v>
      </c>
      <c r="E22" s="9">
        <v>10000</v>
      </c>
      <c r="F22" s="9">
        <v>10000</v>
      </c>
      <c r="G22" s="9">
        <f>ROUND((E22+F22)/2,0)</f>
        <v>10000</v>
      </c>
      <c r="H22" s="12" t="s">
        <v>34</v>
      </c>
      <c r="I22" s="9">
        <f>E22</f>
        <v>10000</v>
      </c>
      <c r="J22" s="13" t="s">
        <v>30</v>
      </c>
      <c r="K22" s="14" t="s">
        <v>31</v>
      </c>
    </row>
    <row r="23" ht="24" customHeight="1" spans="1:11" x14ac:dyDescent="0.25">
      <c r="A23" s="11">
        <v>20</v>
      </c>
      <c r="B23" s="7" t="s">
        <v>13</v>
      </c>
      <c r="C23" s="7" t="s">
        <v>70</v>
      </c>
      <c r="D23" s="7" t="s">
        <v>43</v>
      </c>
      <c r="E23" s="9">
        <v>2100</v>
      </c>
      <c r="F23" s="9">
        <v>3000</v>
      </c>
      <c r="G23" s="9">
        <f>ROUND((E23+F23)/2,0)</f>
        <v>2550</v>
      </c>
      <c r="H23" s="12" t="s">
        <v>34</v>
      </c>
      <c r="I23" s="9">
        <f>E23</f>
        <v>2100</v>
      </c>
      <c r="J23" s="13" t="s">
        <v>30</v>
      </c>
      <c r="K23" s="14" t="s">
        <v>31</v>
      </c>
    </row>
    <row r="24" ht="24" customHeight="1" spans="1:11" x14ac:dyDescent="0.25">
      <c r="A24" s="11">
        <v>21</v>
      </c>
      <c r="B24" s="7" t="s">
        <v>14</v>
      </c>
      <c r="C24" s="7" t="s">
        <v>71</v>
      </c>
      <c r="D24" s="7" t="s">
        <v>43</v>
      </c>
      <c r="E24" s="9">
        <v>400</v>
      </c>
      <c r="F24" s="9">
        <v>400</v>
      </c>
      <c r="G24" s="9">
        <f>ROUND((E24+F24)/2,0)</f>
        <v>400</v>
      </c>
      <c r="H24" s="12" t="s">
        <v>37</v>
      </c>
      <c r="I24" s="9">
        <f>E24</f>
        <v>400</v>
      </c>
      <c r="J24" s="13" t="s">
        <v>30</v>
      </c>
      <c r="K24" s="14" t="s">
        <v>31</v>
      </c>
    </row>
    <row r="25" ht="24" customHeight="1" spans="1:11" x14ac:dyDescent="0.25">
      <c r="A25" s="11">
        <v>22</v>
      </c>
      <c r="B25" s="7" t="s">
        <v>14</v>
      </c>
      <c r="C25" s="7" t="s">
        <v>72</v>
      </c>
      <c r="D25" s="7" t="s">
        <v>73</v>
      </c>
      <c r="E25" s="9">
        <v>400</v>
      </c>
      <c r="F25" s="9">
        <v>1010</v>
      </c>
      <c r="G25" s="9">
        <f>ROUND((E25+F25)/2,0)</f>
        <v>705</v>
      </c>
      <c r="H25" s="12" t="s">
        <v>34</v>
      </c>
      <c r="I25" s="9">
        <f>E25</f>
        <v>400</v>
      </c>
      <c r="J25" s="13" t="s">
        <v>30</v>
      </c>
      <c r="K25" s="14" t="s">
        <v>31</v>
      </c>
    </row>
    <row r="26" ht="24" customHeight="1" spans="1:11" x14ac:dyDescent="0.25">
      <c r="A26" s="11">
        <v>23</v>
      </c>
      <c r="B26" s="7" t="s">
        <v>14</v>
      </c>
      <c r="C26" s="7" t="s">
        <v>74</v>
      </c>
      <c r="D26" s="7" t="s">
        <v>75</v>
      </c>
      <c r="E26" s="9">
        <v>800</v>
      </c>
      <c r="F26" s="9">
        <v>2000</v>
      </c>
      <c r="G26" s="9">
        <f>ROUND((E26+F26)/2,0)</f>
        <v>1400</v>
      </c>
      <c r="H26" s="12" t="s">
        <v>34</v>
      </c>
      <c r="I26" s="9">
        <f>E26</f>
        <v>800</v>
      </c>
      <c r="J26" s="13" t="s">
        <v>30</v>
      </c>
      <c r="K26" s="14" t="s">
        <v>31</v>
      </c>
    </row>
    <row r="27" ht="24" customHeight="1" spans="1:11" x14ac:dyDescent="0.25">
      <c r="A27" s="11">
        <v>24</v>
      </c>
      <c r="B27" s="7" t="s">
        <v>14</v>
      </c>
      <c r="C27" s="7" t="s">
        <v>76</v>
      </c>
      <c r="D27" s="7" t="s">
        <v>43</v>
      </c>
      <c r="E27" s="9">
        <v>499</v>
      </c>
      <c r="F27" s="9">
        <v>499</v>
      </c>
      <c r="G27" s="9">
        <f>ROUND((E27+F27)/2,0)</f>
        <v>499</v>
      </c>
      <c r="H27" s="12" t="s">
        <v>34</v>
      </c>
      <c r="I27" s="9">
        <f>E27</f>
        <v>499</v>
      </c>
      <c r="J27" s="13" t="s">
        <v>30</v>
      </c>
      <c r="K27" s="14" t="s">
        <v>31</v>
      </c>
    </row>
    <row r="28" ht="24" customHeight="1" spans="1:11" x14ac:dyDescent="0.25">
      <c r="A28" s="11">
        <v>25</v>
      </c>
      <c r="B28" s="7" t="s">
        <v>15</v>
      </c>
      <c r="C28" s="7" t="s">
        <v>77</v>
      </c>
      <c r="D28" s="7" t="s">
        <v>78</v>
      </c>
      <c r="E28" s="9">
        <v>1000</v>
      </c>
      <c r="F28" s="9">
        <v>2290</v>
      </c>
      <c r="G28" s="9">
        <f>ROUND((E28+F28)/2,0)</f>
        <v>1645</v>
      </c>
      <c r="H28" s="12" t="s">
        <v>34</v>
      </c>
      <c r="I28" s="9">
        <f>E28</f>
        <v>1000</v>
      </c>
      <c r="J28" s="13" t="s">
        <v>30</v>
      </c>
      <c r="K28" s="14" t="s">
        <v>31</v>
      </c>
    </row>
    <row r="29" ht="24" customHeight="1" spans="1:11" x14ac:dyDescent="0.25">
      <c r="A29" s="11">
        <v>26</v>
      </c>
      <c r="B29" s="7" t="s">
        <v>15</v>
      </c>
      <c r="C29" s="7" t="s">
        <v>79</v>
      </c>
      <c r="D29" s="7" t="s">
        <v>80</v>
      </c>
      <c r="E29" s="9">
        <v>800</v>
      </c>
      <c r="F29" s="9">
        <v>2500</v>
      </c>
      <c r="G29" s="9">
        <f>ROUND((E29+F29)/2,0)</f>
        <v>1650</v>
      </c>
      <c r="H29" s="12" t="s">
        <v>34</v>
      </c>
      <c r="I29" s="9">
        <f>E29</f>
        <v>800</v>
      </c>
      <c r="J29" s="13" t="s">
        <v>30</v>
      </c>
      <c r="K29" s="14" t="s">
        <v>31</v>
      </c>
    </row>
    <row r="30" ht="24" customHeight="1" spans="1:11" x14ac:dyDescent="0.25">
      <c r="A30" s="11">
        <v>27</v>
      </c>
      <c r="B30" s="7" t="s">
        <v>16</v>
      </c>
      <c r="C30" s="7" t="s">
        <v>81</v>
      </c>
      <c r="D30" s="7" t="s">
        <v>82</v>
      </c>
      <c r="E30" s="9">
        <v>2000</v>
      </c>
      <c r="F30" s="9">
        <v>2500</v>
      </c>
      <c r="G30" s="9">
        <f>ROUND((E30+F30)/2,0)</f>
        <v>2250</v>
      </c>
      <c r="H30" s="12" t="s">
        <v>34</v>
      </c>
      <c r="I30" s="9">
        <f>E30</f>
        <v>2000</v>
      </c>
      <c r="J30" s="13" t="s">
        <v>30</v>
      </c>
      <c r="K30" s="14" t="s">
        <v>31</v>
      </c>
    </row>
    <row r="31" ht="24" customHeight="1" spans="1:11" x14ac:dyDescent="0.25">
      <c r="A31" s="11">
        <v>28</v>
      </c>
      <c r="B31" s="7" t="s">
        <v>16</v>
      </c>
      <c r="C31" s="7" t="s">
        <v>83</v>
      </c>
      <c r="D31" s="7" t="s">
        <v>84</v>
      </c>
      <c r="E31" s="9">
        <v>1000</v>
      </c>
      <c r="F31" s="9">
        <v>1500</v>
      </c>
      <c r="G31" s="9">
        <f>ROUND((E31+F31)/2,0)</f>
        <v>1250</v>
      </c>
      <c r="H31" s="12" t="s">
        <v>34</v>
      </c>
      <c r="I31" s="9">
        <f>E31</f>
        <v>1000</v>
      </c>
      <c r="J31" s="13" t="s">
        <v>30</v>
      </c>
      <c r="K31" s="14" t="s">
        <v>31</v>
      </c>
    </row>
    <row r="32" ht="24" customHeight="1" spans="1:11" x14ac:dyDescent="0.25">
      <c r="A32" s="11">
        <v>29</v>
      </c>
      <c r="B32" s="7" t="s">
        <v>16</v>
      </c>
      <c r="C32" s="7" t="s">
        <v>85</v>
      </c>
      <c r="D32" s="7" t="s">
        <v>43</v>
      </c>
      <c r="E32" s="9">
        <v>1000</v>
      </c>
      <c r="F32" s="9">
        <v>1000</v>
      </c>
      <c r="G32" s="9">
        <f>ROUND((E32+F32)/2,0)</f>
        <v>1000</v>
      </c>
      <c r="H32" s="12" t="s">
        <v>86</v>
      </c>
      <c r="I32" s="9">
        <f>E32</f>
        <v>1000</v>
      </c>
      <c r="J32" s="13" t="s">
        <v>30</v>
      </c>
      <c r="K32" s="14" t="s">
        <v>31</v>
      </c>
    </row>
    <row r="33" ht="24" customHeight="1" spans="1:11" x14ac:dyDescent="0.25">
      <c r="A33" s="11">
        <v>30</v>
      </c>
      <c r="B33" s="7" t="s">
        <v>16</v>
      </c>
      <c r="C33" s="7" t="s">
        <v>87</v>
      </c>
      <c r="D33" s="7" t="s">
        <v>88</v>
      </c>
      <c r="E33" s="9">
        <v>3000</v>
      </c>
      <c r="F33" s="9">
        <v>6999</v>
      </c>
      <c r="G33" s="9">
        <f>ROUND((E33+F33)/2,0)</f>
        <v>5000</v>
      </c>
      <c r="H33" s="12" t="s">
        <v>34</v>
      </c>
      <c r="I33" s="9">
        <f>E33</f>
        <v>3000</v>
      </c>
      <c r="J33" s="13" t="s">
        <v>30</v>
      </c>
      <c r="K33" s="14" t="s">
        <v>31</v>
      </c>
    </row>
    <row r="34" ht="24" customHeight="1" spans="1:11" x14ac:dyDescent="0.25">
      <c r="A34" s="11">
        <v>31</v>
      </c>
      <c r="B34" s="7" t="s">
        <v>16</v>
      </c>
      <c r="C34" s="7" t="s">
        <v>89</v>
      </c>
      <c r="D34" s="7" t="s">
        <v>43</v>
      </c>
      <c r="E34" s="9">
        <v>600</v>
      </c>
      <c r="F34" s="9">
        <v>600</v>
      </c>
      <c r="G34" s="9">
        <f>ROUND((E34+F34)/2,0)</f>
        <v>600</v>
      </c>
      <c r="H34" s="12" t="s">
        <v>86</v>
      </c>
      <c r="I34" s="9">
        <f>E34</f>
        <v>600</v>
      </c>
      <c r="J34" s="13" t="s">
        <v>30</v>
      </c>
      <c r="K34" s="14" t="s">
        <v>31</v>
      </c>
    </row>
    <row r="35" ht="24" customHeight="1" spans="1:11" x14ac:dyDescent="0.25">
      <c r="A35" s="11">
        <v>32</v>
      </c>
      <c r="B35" s="7" t="s">
        <v>16</v>
      </c>
      <c r="C35" s="7" t="s">
        <v>90</v>
      </c>
      <c r="D35" s="7" t="s">
        <v>91</v>
      </c>
      <c r="E35" s="9">
        <v>2500</v>
      </c>
      <c r="F35" s="9">
        <v>2500</v>
      </c>
      <c r="G35" s="9">
        <f>ROUND((E35+F35)/2,0)</f>
        <v>2500</v>
      </c>
      <c r="H35" s="12" t="s">
        <v>34</v>
      </c>
      <c r="I35" s="9">
        <f>E35</f>
        <v>2500</v>
      </c>
      <c r="J35" s="13" t="s">
        <v>30</v>
      </c>
      <c r="K35" s="14" t="s">
        <v>31</v>
      </c>
    </row>
    <row r="36" ht="24" customHeight="1" spans="1:11" x14ac:dyDescent="0.25">
      <c r="A36" s="11">
        <v>33</v>
      </c>
      <c r="B36" s="7" t="s">
        <v>17</v>
      </c>
      <c r="C36" s="7" t="s">
        <v>92</v>
      </c>
      <c r="D36" s="7" t="s">
        <v>43</v>
      </c>
      <c r="E36" s="9">
        <v>2000</v>
      </c>
      <c r="F36" s="9">
        <v>2000</v>
      </c>
      <c r="G36" s="9">
        <f>ROUND((E36+F36)/2,0)</f>
        <v>2000</v>
      </c>
      <c r="H36" s="12" t="s">
        <v>34</v>
      </c>
      <c r="I36" s="9">
        <f>E36</f>
        <v>2000</v>
      </c>
      <c r="J36" s="13" t="s">
        <v>30</v>
      </c>
      <c r="K36" s="14" t="s">
        <v>31</v>
      </c>
    </row>
    <row r="37" ht="24" customHeight="1" spans="1:11" x14ac:dyDescent="0.25">
      <c r="A37" s="11">
        <v>34</v>
      </c>
      <c r="B37" s="7" t="s">
        <v>17</v>
      </c>
      <c r="C37" s="7" t="s">
        <v>93</v>
      </c>
      <c r="D37" s="7" t="s">
        <v>43</v>
      </c>
      <c r="E37" s="9">
        <v>1750</v>
      </c>
      <c r="F37" s="9">
        <v>1750</v>
      </c>
      <c r="G37" s="9">
        <f>ROUND((E37+F37)/2,0)</f>
        <v>1750</v>
      </c>
      <c r="H37" s="12" t="s">
        <v>53</v>
      </c>
      <c r="I37" s="9">
        <f>E37</f>
        <v>1750</v>
      </c>
      <c r="J37" s="13" t="s">
        <v>30</v>
      </c>
      <c r="K37" s="14" t="s">
        <v>31</v>
      </c>
    </row>
    <row r="38" ht="24" customHeight="1" spans="1:11" x14ac:dyDescent="0.25">
      <c r="A38" s="11">
        <v>35</v>
      </c>
      <c r="B38" s="7" t="s">
        <v>17</v>
      </c>
      <c r="C38" s="7" t="s">
        <v>94</v>
      </c>
      <c r="D38" s="7" t="s">
        <v>95</v>
      </c>
      <c r="E38" s="9">
        <v>300</v>
      </c>
      <c r="F38" s="9">
        <v>2300</v>
      </c>
      <c r="G38" s="9">
        <f>ROUND((E38+F38)/2,0)</f>
        <v>1300</v>
      </c>
      <c r="H38" s="12" t="s">
        <v>34</v>
      </c>
      <c r="I38" s="9">
        <f>E38</f>
        <v>300</v>
      </c>
      <c r="J38" s="13" t="s">
        <v>30</v>
      </c>
      <c r="K38" s="14" t="s">
        <v>31</v>
      </c>
    </row>
    <row r="39" ht="24" customHeight="1" spans="1:11" x14ac:dyDescent="0.25">
      <c r="A39" s="11">
        <v>36</v>
      </c>
      <c r="B39" s="7" t="s">
        <v>18</v>
      </c>
      <c r="C39" s="7" t="s">
        <v>96</v>
      </c>
      <c r="D39" s="7" t="s">
        <v>97</v>
      </c>
      <c r="E39" s="9">
        <v>20000</v>
      </c>
      <c r="F39" s="9">
        <v>20000</v>
      </c>
      <c r="G39" s="9">
        <f>ROUND((E39+F39)/2,0)</f>
        <v>20000</v>
      </c>
      <c r="H39" s="12" t="s">
        <v>98</v>
      </c>
      <c r="I39" s="9">
        <f>E39</f>
        <v>20000</v>
      </c>
      <c r="J39" s="13" t="s">
        <v>30</v>
      </c>
      <c r="K39" s="14" t="s">
        <v>31</v>
      </c>
    </row>
  </sheetData>
  <autoFilter ref="A3:K39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  <hyperlink ref="J32" r:id="rId57"/>
    <hyperlink ref="K32" r:id="rId58"/>
    <hyperlink ref="J33" r:id="rId59"/>
    <hyperlink ref="K33" r:id="rId60"/>
    <hyperlink ref="J34" r:id="rId61"/>
    <hyperlink ref="K34" r:id="rId62"/>
    <hyperlink ref="J35" r:id="rId63"/>
    <hyperlink ref="K35" r:id="rId64"/>
    <hyperlink ref="J36" r:id="rId65"/>
    <hyperlink ref="K36" r:id="rId66"/>
    <hyperlink ref="J37" r:id="rId67"/>
    <hyperlink ref="K37" r:id="rId68"/>
    <hyperlink ref="J38" r:id="rId69"/>
    <hyperlink ref="K38" r:id="rId70"/>
    <hyperlink ref="J39" r:id="rId71"/>
    <hyperlink ref="K39" r:id="rId7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 zoomScale="100" zoomScaleNormal="10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99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100</v>
      </c>
      <c r="B3" s="6" t="s">
        <v>101</v>
      </c>
      <c r="C3" s="6" t="s">
        <v>102</v>
      </c>
      <c r="D3" s="6" t="s">
        <v>28</v>
      </c>
    </row>
    <row r="4" spans="1:4" x14ac:dyDescent="0.25">
      <c r="A4" s="7" t="s">
        <v>103</v>
      </c>
      <c r="B4" s="12" t="s">
        <v>104</v>
      </c>
      <c r="C4" s="7" t="s">
        <v>105</v>
      </c>
      <c r="D4" s="7" t="s">
        <v>106</v>
      </c>
    </row>
    <row r="5" spans="1:4" x14ac:dyDescent="0.25">
      <c r="A5" s="7" t="s">
        <v>53</v>
      </c>
      <c r="B5" s="12" t="s">
        <v>107</v>
      </c>
      <c r="C5" s="7" t="s">
        <v>108</v>
      </c>
      <c r="D5" s="7" t="s">
        <v>109</v>
      </c>
    </row>
    <row r="6" spans="1:4" x14ac:dyDescent="0.25">
      <c r="A6" s="7" t="s">
        <v>110</v>
      </c>
      <c r="B6" s="12" t="s">
        <v>111</v>
      </c>
      <c r="C6" s="7" t="s">
        <v>112</v>
      </c>
      <c r="D6" s="7" t="s">
        <v>113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70" customWidth="1"/>
  </cols>
  <sheetData>
    <row r="1" spans="1:1" x14ac:dyDescent="0.25">
      <c r="A1" s="15" t="s">
        <v>114</v>
      </c>
    </row>
    <row r="2" spans="1:1" x14ac:dyDescent="0.25">
      <c r="A2" s="16" t="s">
        <v>115</v>
      </c>
    </row>
    <row r="4" spans="1:1" x14ac:dyDescent="0.25">
      <c r="A4" s="17" t="s">
        <v>116</v>
      </c>
    </row>
    <row r="6" spans="1:1" x14ac:dyDescent="0.25">
      <c r="A6" s="5" t="s">
        <v>117</v>
      </c>
    </row>
    <row r="7" spans="1:1" x14ac:dyDescent="0.25">
      <c r="A7" s="18" t="s">
        <v>118</v>
      </c>
    </row>
    <row r="8" spans="1:1" x14ac:dyDescent="0.25">
      <c r="A8" s="18" t="s">
        <v>119</v>
      </c>
    </row>
    <row r="9" spans="1:1" x14ac:dyDescent="0.25">
      <c r="A9" s="18" t="s">
        <v>120</v>
      </c>
    </row>
    <row r="11" spans="1:1" x14ac:dyDescent="0.25">
      <c r="A11" s="19" t="s">
        <v>121</v>
      </c>
    </row>
  </sheetData>
  <hyperlinks>
    <hyperlink ref="A4" r:id="rId1"/>
    <hyperlink ref="A7" r:id="rId2"/>
    <hyperlink ref="A8" r:id="rId3"/>
    <hyperlink ref="A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Прайс</vt:lpstr>
      <vt:lpstr>Источники</vt:lpstr>
      <vt:lpstr>О прайсе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