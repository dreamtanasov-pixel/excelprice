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<sst xmlns="http://schemas.openxmlformats.org/spreadsheetml/2006/main" count="441" uniqueCount="177">
  <si>
    <t>Сводка по бу-запчастям Lada Vesta 2018</t>
  </si>
  <si>
    <t>Считается автоматически с листа «Прайс». Сентябрь 2026, вся Россия.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</si>
  <si>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</si>
  <si>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</si>
  <si>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</si>
  <si>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</si>
  <si>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</si>
  <si>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</si>
  <si>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</si>
  <si>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</si>
  <si>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</si>
  <si>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</si>
  <si>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</si>
  <si>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</si>
  <si>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</si>
  <si>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</si>
  <si>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</si>
  <si>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</si>
  <si>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</si>
  <si>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</si>
  <si>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б/у. Часть позиций скрывает цену в объявлении — «—» значит цена уточняется у разборки.</t>
  </si>
  <si>
    <t>• Диапазоны сильно зависят от региона, состояния и пробега донора; для 1.6 (21129) типичен катализатор в коллекторе.</t>
  </si>
  <si>
    <t>БУ-запчасти Lada Vesta (седан, 2018 г., 1.6 21129)</t>
  </si>
  <si>
    <t>Цены — реальные публичные предложения б/у (сентябрь 2026): Авито, Дром, xbaz, festima, farpost и разборки. «Лучшая цена» = минимальная из найденных; ссылки открывают поиск детали на Avito и Дроме.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</si>
  <si>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</si>
  <si>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</si>
  <si>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</si>
  <si>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</si>
  <si>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</si>
  <si>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</si>
  <si>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</si>
  <si>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</si>
  <si>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</si>
  <si>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ВАЗ-21129 (контрактный)</t>
  </si>
  <si>
    <t>21129</t>
  </si>
  <si>
    <t>baza.drom.ru — Lada XRAY 20101 21129 б/у 60 000 ₽, Челябинск</t>
  </si>
  <si>
    <t>Блок цилиндров</t>
  </si>
  <si>
    <t>—</t>
  </si>
  <si>
    <t>Авито — новый в сборе 47 800 ₽; бу-блок редок</t>
  </si>
  <si>
    <t>ГБЦ в сборе</t>
  </si>
  <si>
    <t>21129100300700</t>
  </si>
  <si>
    <t>Авито — б/у и новая есть, цена не раскрыта, по запросу разборок</t>
  </si>
  <si>
    <t>Генератор 120А (контракт)</t>
  </si>
  <si>
    <t>TG12C209</t>
  </si>
  <si>
    <t>xbaz.ru (Краснодар) — 10 000 ₽</t>
  </si>
  <si>
    <t>Стартер</t>
  </si>
  <si>
    <t>21901-3708010-00</t>
  </si>
  <si>
    <t>Авито — разборы с наличием, цена не раскрыта</t>
  </si>
  <si>
    <t>Форсунки Deka (комплект)</t>
  </si>
  <si>
    <t>28346052</t>
  </si>
  <si>
    <t>Авито — цена за шт не раскрыта; новый комплект Delphi ~32 400 ₽</t>
  </si>
  <si>
    <t>Дроссельная заслонка</t>
  </si>
  <si>
    <t>211271148010</t>
  </si>
  <si>
    <t>Авито + отчёт Drive2 — с разборки 8 000 ₽ за заводскую</t>
  </si>
  <si>
    <t>Датчик MAF / ДМРВ</t>
  </si>
  <si>
    <t>Bosch</t>
  </si>
  <si>
    <t>бу-цены в выдержке нет — по запросу разборок</t>
  </si>
  <si>
    <t>Термостат</t>
  </si>
  <si>
    <t/>
  </si>
  <si>
    <t>Drive2 — отчёт владельца: 2 300 ₽</t>
  </si>
  <si>
    <t>Катализатор / катколлектор</t>
  </si>
  <si>
    <t>211291203008</t>
  </si>
  <si>
    <t>Авито — 1 500 ₽ без датчиков, пробег 38 ткм</t>
  </si>
  <si>
    <t>Лямбда-зонд (датчик кислорода)</t>
  </si>
  <si>
    <t>226A41772R</t>
  </si>
  <si>
    <t>Авито Пермь — за шт, цена не раскрыта; новый ~9 156 ₽</t>
  </si>
  <si>
    <t>Выпускной коллектор / средняя часть глушителя</t>
  </si>
  <si>
    <t>8450022897</t>
  </si>
  <si>
    <t>Авито — б/у есть, цена не раскрыта, по запросу</t>
  </si>
  <si>
    <t>Вариатор Jatco JF015E</t>
  </si>
  <si>
    <t>JF015E/RE0F11A</t>
  </si>
  <si>
    <t>Авито — новый оригинал 115 000 ₽; б/у редка, чаще новый/редилд</t>
  </si>
  <si>
    <t>МКПП контрактная (Renault JH3/JR5)</t>
  </si>
  <si>
    <t>JH3/JR5</t>
  </si>
  <si>
    <t>auto.drom.ru — контрактная оригинал 26 000 ₽</t>
  </si>
  <si>
    <t>Сцепление (комплект корзина+диск)</t>
  </si>
  <si>
    <t>21810160100000</t>
  </si>
  <si>
    <t>бу-цены нет; новые комплекты от ~12 100 ₽ — расходник</t>
  </si>
  <si>
    <t>Полуоси / ШРУС</t>
  </si>
  <si>
    <t>отдельных бу-объявлений не найдено — по запросу разборок</t>
  </si>
  <si>
    <t>Рычаг передней подвески</t>
  </si>
  <si>
    <t>Авито — б/у 1 500 ₽/шт</t>
  </si>
  <si>
    <t>Амортизаторы / стойки перед-зад</t>
  </si>
  <si>
    <t>Авито — оригин. с 20 ткм, цена не раскрыта; новый СААЗ от ~4 400 ₽</t>
  </si>
  <si>
    <t>Пружины</t>
  </si>
  <si>
    <t>Авито Саратовская обл. — б/у есть, сумма не раскрыта</t>
  </si>
  <si>
    <t>Рулевая колонка + ЭУР (в сборе)</t>
  </si>
  <si>
    <t>8450006840</t>
  </si>
  <si>
    <t>festima.ru — 15 000 ₽; рейка-ребилд с гарантией на Авито</t>
  </si>
  <si>
    <t>ЭУР (электроусилитель, отдельно)</t>
  </si>
  <si>
    <t>farpost Ростов 7 777 ₽; baza.drom Новосибирск 49 000 ₽ — разброс рынка</t>
  </si>
  <si>
    <t>Суппорт передний/задний</t>
  </si>
  <si>
    <t>Авито Москва — сняты на 60 ткм, цена не раскрыта, по запросу</t>
  </si>
  <si>
    <t>Тормозные диски / барабаны</t>
  </si>
  <si>
    <t>бу-рынок слабый — обычно новые, по запросу разборок</t>
  </si>
  <si>
    <t>Вакуумный усилитель + ГТЦ</t>
  </si>
  <si>
    <t>Авито Чемодановка — б/у есть, цена не раскрыта</t>
  </si>
  <si>
    <t>Блок ABS</t>
  </si>
  <si>
    <t>покупка с разборки обсуждается на форумах, цена по запросу</t>
  </si>
  <si>
    <t>Капот (оригинал)</t>
  </si>
  <si>
    <t>8450039378</t>
  </si>
  <si>
    <t>Авито, Москва — б/у оригинал 10 000 ₽</t>
  </si>
  <si>
    <t>Фара передняя (NG)</t>
  </si>
  <si>
    <t>8450006953</t>
  </si>
  <si>
    <t>Авито — фара NG 14 736 ₽</t>
  </si>
  <si>
    <t>Задний фонарь наружный</t>
  </si>
  <si>
    <t>8450006963</t>
  </si>
  <si>
    <t>bi-bi.ru — новый/оригинал 8 297 ₽; бу по запросу</t>
  </si>
  <si>
    <t>Крыло переднее</t>
  </si>
  <si>
    <t>8450039386</t>
  </si>
  <si>
    <t>Авито — б/у оригинал, цена не раскрыта; новое от 7 580 ₽</t>
  </si>
  <si>
    <t>Бампер передний/задний</t>
  </si>
  <si>
    <t>Авито — б/у Cross есть, цены не раскрыты, по запросу</t>
  </si>
  <si>
    <t>Дверь передняя</t>
  </si>
  <si>
    <t>Авито — б/у оригинал, цена не раскрыта, по запросу</t>
  </si>
  <si>
    <t>Лобовое стекло</t>
  </si>
  <si>
    <t>Авито, Уфа — новое с полным обогревом 17 800 ₽; истинного бу мало</t>
  </si>
  <si>
    <t>Решётка радиатора</t>
  </si>
  <si>
    <t>Авито — NG/хром есть, цены не раскрыты; новая от ~2 100 ₽</t>
  </si>
  <si>
    <t>Крышка багажника</t>
  </si>
  <si>
    <t>8450013788</t>
  </si>
  <si>
    <t>Авито, Тольятти — SW б/у, цена не раскрыта; задняя часть кузова ~25 000 ₽</t>
  </si>
  <si>
    <t>ЭБУ (мозги)</t>
  </si>
  <si>
    <t>8450030592</t>
  </si>
  <si>
    <t>Авито — б/у рабочий с гарантией, цена не раскрыта</t>
  </si>
  <si>
    <t>Панель приборов (комбинация)</t>
  </si>
  <si>
    <t>8450007022</t>
  </si>
  <si>
    <t>Авито — комбинация от 5 555 ₽/шт б/у</t>
  </si>
  <si>
    <t>Мультимедиа ММС (магнитола)</t>
  </si>
  <si>
    <t>8450007950</t>
  </si>
  <si>
    <t>carbox63.ru — оригинал 15 000 ₽; бу на Авито без цены</t>
  </si>
  <si>
    <t>Трапеция дворников (с мотором)</t>
  </si>
  <si>
    <t>Авито, Реутов — б/у есть, цена не раскрыта</t>
  </si>
  <si>
    <t>Моторчик стеклоподъёмника / замки / жгуты</t>
  </si>
  <si>
    <t>бу-цен нет — по запросу разборок</t>
  </si>
  <si>
    <t>Сиденья передние (комплект)</t>
  </si>
  <si>
    <t>Авито, Пермь — 29 000 ₽ за комплект</t>
  </si>
  <si>
    <t>Подушка безопасности (водитель, руль)</t>
  </si>
  <si>
    <t>Авито, Ростов — SRS новая 3 шт, цена не раскрыта</t>
  </si>
  <si>
    <t>Руль / мультируль</t>
  </si>
  <si>
    <t>cmg-05</t>
  </si>
  <si>
    <t>granves-shop — с обогревом по запросу; бу-рули на Авито</t>
  </si>
  <si>
    <t>Чехлы</t>
  </si>
  <si>
    <t>Авито, Пермь — б/у 2 000 ₽</t>
  </si>
  <si>
    <t>Коврики / обшивка / дверные карты</t>
  </si>
  <si>
    <t>Источники и площадки поиска</t>
  </si>
  <si>
    <t>Цены собраны из публичных объявлений и каталогов 2026 г.; площадки, где проверялся каждый раздел.</t>
  </si>
  <si>
    <t>Площадка</t>
  </si>
  <si>
    <t>Что искать</t>
  </si>
  <si>
    <t>Тип</t>
  </si>
  <si>
    <t>Авито (avito.ru)</t>
  </si>
  <si>
    <t>Любые бу-запчасти Lada Vesta</t>
  </si>
  <si>
    <t>Доска объявлений</t>
  </si>
  <si>
    <t>Самый живой бу-рынок; часть цен скрыта в объявлениях</t>
  </si>
  <si>
    <t>Дром / База Дром (baza.drom.ru)</t>
  </si>
  <si>
    <t>Двигатель 21129, ЭУР, МКПП</t>
  </si>
  <si>
    <t>База объявлений</t>
  </si>
  <si>
    <t>Контрактные снятые узлы, вся Россия</t>
  </si>
  <si>
    <t>X-Baz (xbaz.ru)</t>
  </si>
  <si>
    <t>Генератор, по модели</t>
  </si>
  <si>
    <t>Агрегатор разборок</t>
  </si>
  <si>
    <t>Показывает конкретные суммы от разных разборок</t>
  </si>
  <si>
    <t>Festima (festima.ru)</t>
  </si>
  <si>
    <t>Рулевая колонка, ЭУР</t>
  </si>
  <si>
    <t>Агрегатор б/у</t>
  </si>
  <si>
    <t>Цены видны в карточке</t>
  </si>
  <si>
    <t>FarPost (farpost.ru)</t>
  </si>
  <si>
    <t>ЭУР, электроника</t>
  </si>
  <si>
    <t>Региональные цены, часто ниже московских</t>
  </si>
  <si>
    <t>Drive2 (drive2.ru)</t>
  </si>
  <si>
    <t>Термостат, дроссель, цены запчастей</t>
  </si>
  <si>
    <t>Бортжурналы владельцев</t>
  </si>
  <si>
    <t>Отчёты с реальными ценами покупки</t>
  </si>
  <si>
    <t>bi-bi.ru / carbox63.ru</t>
  </si>
  <si>
    <t>Фонарь, ММС</t>
  </si>
  <si>
    <t>Магазины</t>
  </si>
  <si>
    <t>Ориентир по новым/оригинальным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</si>
</sst>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lada%20vesta%20%D0%94%D0%B2%D0%B8%D0%B3%D0%B0%D1%82%D0%B5%D0%BB%D1%8C%20%D0%B2%20%D1%81%D0%B1%D0%BE%D1%80%D0%B5%20%D0%92%D0%90%D0%97-21129%20(%D0%BA%D0%BE%D0%BD%D1%82%D1%80%D0%B0%D0%BA%D1%82%D0%BD%D1%8B%D0%B9)%20%D0%B1%D1%83" TargetMode="External"/><Relationship Id="rId2" Type="http://schemas.openxmlformats.org/officeDocument/2006/relationships/hyperlink" Target="https://baza.drom.ru/sell_spare_parts/+/lada%20vesta%20%D0%94%D0%B2%D0%B8%D0%B3%D0%B0%D1%82%D0%B5%D0%BB%D1%8C%20%D0%B2%20%D1%81%D0%B1%D0%BE%D1%80%D0%B5%20%D0%92%D0%90%D0%97-21129%20(%D0%BA%D0%BE%D0%BD%D1%82%D1%80%D0%B0%D0%BA%D1%82%D0%BD%D1%8B%D0%B9)%20%D0%B1%D1%83/" TargetMode="External"/><Relationship Id="rId3" Type="http://schemas.openxmlformats.org/officeDocument/2006/relationships/hyperlink" Target="https://www.avito.ru/all/zapchasti_i_aksessuary?q=lada%20vesta%20%D0%91%D0%BB%D0%BE%D0%BA%20%D1%86%D0%B8%D0%BB%D0%B8%D0%BD%D0%B4%D1%80%D0%BE%D0%B2%20%D0%B1%D1%83" TargetMode="External"/><Relationship Id="rId4" Type="http://schemas.openxmlformats.org/officeDocument/2006/relationships/hyperlink" Target="https://baza.drom.ru/sell_spare_parts/+/lada%20vesta%20%D0%91%D0%BB%D0%BE%D0%BA%20%D1%86%D0%B8%D0%BB%D0%B8%D0%BD%D0%B4%D1%80%D0%BE%D0%B2%20%D0%B1%D1%83/" TargetMode="External"/><Relationship Id="rId5" Type="http://schemas.openxmlformats.org/officeDocument/2006/relationships/hyperlink" Target="https://www.avito.ru/all/zapchasti_i_aksessuary?q=lada%20vesta%20%D0%93%D0%91%D0%A6%20%D0%B2%20%D1%81%D0%B1%D0%BE%D1%80%D0%B5%20%D0%B1%D1%83" TargetMode="External"/><Relationship Id="rId6" Type="http://schemas.openxmlformats.org/officeDocument/2006/relationships/hyperlink" Target="https://baza.drom.ru/sell_spare_parts/+/lada%20vesta%20%D0%93%D0%91%D0%A6%20%D0%B2%20%D1%81%D0%B1%D0%BE%D1%80%D0%B5%20%D0%B1%D1%83/" TargetMode="External"/><Relationship Id="rId7" Type="http://schemas.openxmlformats.org/officeDocument/2006/relationships/hyperlink" Target="https://www.avito.ru/all/zapchasti_i_aksessuary?q=lada%20vesta%20%D0%93%D0%B5%D0%BD%D0%B5%D1%80%D0%B0%D1%82%D0%BE%D1%80%20120%D0%90%20(%D0%BA%D0%BE%D0%BD%D1%82%D1%80%D0%B0%D0%BA%D1%82)%20%D0%B1%D1%83" TargetMode="External"/><Relationship Id="rId8" Type="http://schemas.openxmlformats.org/officeDocument/2006/relationships/hyperlink" Target="https://baza.drom.ru/sell_spare_parts/+/lada%20vesta%20%D0%93%D0%B5%D0%BD%D0%B5%D1%80%D0%B0%D1%82%D0%BE%D1%80%20120%D0%90%20(%D0%BA%D0%BE%D0%BD%D1%82%D1%80%D0%B0%D0%BA%D1%82)%20%D0%B1%D1%83/" TargetMode="External"/><Relationship Id="rId9" Type="http://schemas.openxmlformats.org/officeDocument/2006/relationships/hyperlink" Target="https://www.avito.ru/all/zapchasti_i_aksessuary?q=lada%20vesta%20%D0%A1%D1%82%D0%B0%D1%80%D1%82%D0%B5%D1%80%20%D0%B1%D1%83" TargetMode="External"/><Relationship Id="rId10" Type="http://schemas.openxmlformats.org/officeDocument/2006/relationships/hyperlink" Target="https://baza.drom.ru/sell_spare_parts/+/lada%20vesta%20%D0%A1%D1%82%D0%B0%D1%80%D1%82%D0%B5%D1%80%20%D0%B1%D1%83/" TargetMode="External"/><Relationship Id="rId11" Type="http://schemas.openxmlformats.org/officeDocument/2006/relationships/hyperlink" Target="https://www.avito.ru/all/zapchasti_i_aksessuary?q=lada%20vesta%20%D0%A4%D0%BE%D1%80%D1%81%D1%83%D0%BD%D0%BA%D0%B8%20Deka%20(%D0%BA%D0%BE%D0%BC%D0%BF%D0%BB%D0%B5%D0%BA%D1%82)%20%D0%B1%D1%83" TargetMode="External"/><Relationship Id="rId12" Type="http://schemas.openxmlformats.org/officeDocument/2006/relationships/hyperlink" Target="https://baza.drom.ru/sell_spare_parts/+/lada%20vesta%20%D0%A4%D0%BE%D1%80%D1%81%D1%83%D0%BD%D0%BA%D0%B8%20Deka%20(%D0%BA%D0%BE%D0%BC%D0%BF%D0%BB%D0%B5%D0%BA%D1%82)%20%D0%B1%D1%83/" TargetMode="External"/><Relationship Id="rId13" Type="http://schemas.openxmlformats.org/officeDocument/2006/relationships/hyperlink" Target="https://www.avito.ru/all/zapchasti_i_aksessuary?q=lada%20vesta%20%D0%94%D1%80%D0%BE%D1%81%D1%81%D0%B5%D0%BB%D1%8C%D0%BD%D0%B0%D1%8F%20%D0%B7%D0%B0%D1%81%D0%BB%D0%BE%D0%BD%D0%BA%D0%B0%20%D0%B1%D1%83" TargetMode="External"/><Relationship Id="rId14" Type="http://schemas.openxmlformats.org/officeDocument/2006/relationships/hyperlink" Target="https://baza.drom.ru/sell_spare_parts/+/lada%20vesta%20%D0%94%D1%80%D0%BE%D1%81%D1%81%D0%B5%D0%BB%D1%8C%D0%BD%D0%B0%D1%8F%20%D0%B7%D0%B0%D1%81%D0%BB%D0%BE%D0%BD%D0%BA%D0%B0%20%D0%B1%D1%83/" TargetMode="External"/><Relationship Id="rId15" Type="http://schemas.openxmlformats.org/officeDocument/2006/relationships/hyperlink" Target="https://www.avito.ru/all/zapchasti_i_aksessuary?q=lada%20vesta%20%D0%94%D0%B0%D1%82%D1%87%D0%B8%D0%BA%20MAF%20%2F%20%D0%94%D0%9C%D0%A0%D0%92%20%D0%B1%D1%83" TargetMode="External"/><Relationship Id="rId16" Type="http://schemas.openxmlformats.org/officeDocument/2006/relationships/hyperlink" Target="https://baza.drom.ru/sell_spare_parts/+/lada%20vesta%20%D0%94%D0%B0%D1%82%D1%87%D0%B8%D0%BA%20MAF%20%2F%20%D0%94%D0%9C%D0%A0%D0%92%20%D0%B1%D1%83/" TargetMode="External"/><Relationship Id="rId17" Type="http://schemas.openxmlformats.org/officeDocument/2006/relationships/hyperlink" Target="https://www.avito.ru/all/zapchasti_i_aksessuary?q=lada%20vesta%20%D0%A2%D0%B5%D1%80%D0%BC%D0%BE%D1%81%D1%82%D0%B0%D1%82%20%D0%B1%D1%83" TargetMode="External"/><Relationship Id="rId18" Type="http://schemas.openxmlformats.org/officeDocument/2006/relationships/hyperlink" Target="https://baza.drom.ru/sell_spare_parts/+/lada%20vesta%20%D0%A2%D0%B5%D1%80%D0%BC%D0%BE%D1%81%D1%82%D0%B0%D1%82%20%D0%B1%D1%83/" TargetMode="External"/><Relationship Id="rId19" Type="http://schemas.openxmlformats.org/officeDocument/2006/relationships/hyperlink" Target="https://www.avito.ru/all/zapchasti_i_aksessuary?q=lada%20vesta%20%D0%9A%D0%B0%D1%82%D0%B0%D0%BB%D0%B8%D0%B7%D0%B0%D1%82%D0%BE%D1%80%20%2F%20%D0%BA%D0%B0%D1%82%D0%BA%D0%BE%D0%BB%D0%BB%D0%B5%D0%BA%D1%82%D0%BE%D1%80%20%D0%B1%D1%83" TargetMode="External"/><Relationship Id="rId20" Type="http://schemas.openxmlformats.org/officeDocument/2006/relationships/hyperlink" Target="https://baza.drom.ru/sell_spare_parts/+/lada%20vesta%20%D0%9A%D0%B0%D1%82%D0%B0%D0%BB%D0%B8%D0%B7%D0%B0%D1%82%D0%BE%D1%80%20%2F%20%D0%BA%D0%B0%D1%82%D0%BA%D0%BE%D0%BB%D0%BB%D0%B5%D0%BA%D1%82%D0%BE%D1%80%20%D0%B1%D1%83/" TargetMode="External"/><Relationship Id="rId21" Type="http://schemas.openxmlformats.org/officeDocument/2006/relationships/hyperlink" Target="https://www.avito.ru/all/zapchasti_i_aksessuary?q=lada%20vesta%20%D0%9B%D1%8F%D0%BC%D0%B1%D0%B4%D0%B0-%D0%B7%D0%BE%D0%BD%D0%B4%20(%D0%B4%D0%B0%D1%82%D1%87%D0%B8%D0%BA%20%D0%BA%D0%B8%D1%81%D0%BB%D0%BE%D1%80%D0%BE%D0%B4%D0%B0)%20%D0%B1%D1%83" TargetMode="External"/><Relationship Id="rId22" Type="http://schemas.openxmlformats.org/officeDocument/2006/relationships/hyperlink" Target="https://baza.drom.ru/sell_spare_parts/+/lada%20vesta%20%D0%9B%D1%8F%D0%BC%D0%B1%D0%B4%D0%B0-%D0%B7%D0%BE%D0%BD%D0%B4%20(%D0%B4%D0%B0%D1%82%D1%87%D0%B8%D0%BA%20%D0%BA%D0%B8%D1%81%D0%BB%D0%BE%D1%80%D0%BE%D0%B4%D0%B0)%20%D0%B1%D1%83/" TargetMode="External"/><Relationship Id="rId23" Type="http://schemas.openxmlformats.org/officeDocument/2006/relationships/hyperlink" Target="https://www.avito.ru/all/zapchasti_i_aksessuary?q=lada%20vesta%20%D0%92%D1%8B%D0%BF%D1%83%D1%81%D0%BA%D0%BD%D0%BE%D0%B9%20%D0%BA%D0%BE%D0%BB%D0%BB%D0%B5%D0%BA%D1%82%D0%BE%D1%80%20%2F%20%D1%81%D1%80%D0%B5%D0%B4%D0%BD%D1%8F%D1%8F%20%D1%87%D0%B0%D1%81%D1%82%D1%8C%20%D0%B3%D0%BB%D1%83%D1%88%D0%B8%D1%82%D0%B5%D0%BB%D1%8F%20%D0%B1%D1%83" TargetMode="External"/><Relationship Id="rId24" Type="http://schemas.openxmlformats.org/officeDocument/2006/relationships/hyperlink" Target="https://baza.drom.ru/sell_spare_parts/+/lada%20vesta%20%D0%92%D1%8B%D0%BF%D1%83%D1%81%D0%BA%D0%BD%D0%BE%D0%B9%20%D0%BA%D0%BE%D0%BB%D0%BB%D0%B5%D0%BA%D1%82%D0%BE%D1%80%20%2F%20%D1%81%D1%80%D0%B5%D0%B4%D0%BD%D1%8F%D1%8F%20%D1%87%D0%B0%D1%81%D1%82%D1%8C%20%D0%B3%D0%BB%D1%83%D1%88%D0%B8%D1%82%D0%B5%D0%BB%D1%8F%20%D0%B1%D1%83/" TargetMode="External"/><Relationship Id="rId25" Type="http://schemas.openxmlformats.org/officeDocument/2006/relationships/hyperlink" Target="https://www.avito.ru/all/zapchasti_i_aksessuary?q=lada%20vesta%20%D0%92%D0%B0%D1%80%D0%B8%D0%B0%D1%82%D0%BE%D1%80%20Jatco%20JF015E%20%D0%B1%D1%83" TargetMode="External"/><Relationship Id="rId26" Type="http://schemas.openxmlformats.org/officeDocument/2006/relationships/hyperlink" Target="https://baza.drom.ru/sell_spare_parts/+/lada%20vesta%20%D0%92%D0%B0%D1%80%D0%B8%D0%B0%D1%82%D0%BE%D1%80%20Jatco%20JF015E%20%D0%B1%D1%83/" TargetMode="External"/><Relationship Id="rId27" Type="http://schemas.openxmlformats.org/officeDocument/2006/relationships/hyperlink" Target="https://www.avito.ru/all/zapchasti_i_aksessuary?q=lada%20vesta%20%D0%9C%D0%9A%D0%9F%D0%9F%20%D0%BA%D0%BE%D0%BD%D1%82%D1%80%D0%B0%D0%BA%D1%82%D0%BD%D0%B0%D1%8F%20(Renault%20JH3%2FJR5)%20%D0%B1%D1%83" TargetMode="External"/><Relationship Id="rId28" Type="http://schemas.openxmlformats.org/officeDocument/2006/relationships/hyperlink" Target="https://baza.drom.ru/sell_spare_parts/+/lada%20vesta%20%D0%9C%D0%9A%D0%9F%D0%9F%20%D0%BA%D0%BE%D0%BD%D1%82%D1%80%D0%B0%D0%BA%D1%82%D0%BD%D0%B0%D1%8F%20(Renault%20JH3%2FJR5)%20%D0%B1%D1%83/" TargetMode="External"/><Relationship Id="rId29" Type="http://schemas.openxmlformats.org/officeDocument/2006/relationships/hyperlink" Target="https://www.avito.ru/all/zapchasti_i_aksessuary?q=lada%20vesta%20%D0%A1%D1%86%D0%B5%D0%BF%D0%BB%D0%B5%D0%BD%D0%B8%D0%B5%20(%D0%BA%D0%BE%D0%BC%D0%BF%D0%BB%D0%B5%D0%BA%D1%82%20%D0%BA%D0%BE%D1%80%D0%B7%D0%B8%D0%BD%D0%B0%2B%D0%B4%D0%B8%D1%81%D0%BA)%20%D0%B1%D1%83" TargetMode="External"/><Relationship Id="rId30" Type="http://schemas.openxmlformats.org/officeDocument/2006/relationships/hyperlink" Target="https://baza.drom.ru/sell_spare_parts/+/lada%20vesta%20%D0%A1%D1%86%D0%B5%D0%BF%D0%BB%D0%B5%D0%BD%D0%B8%D0%B5%20(%D0%BA%D0%BE%D0%BC%D0%BF%D0%BB%D0%B5%D0%BA%D1%82%20%D0%BA%D0%BE%D1%80%D0%B7%D0%B8%D0%BD%D0%B0%2B%D0%B4%D0%B8%D1%81%D0%BA)%20%D0%B1%D1%83/" TargetMode="External"/><Relationship Id="rId31" Type="http://schemas.openxmlformats.org/officeDocument/2006/relationships/hyperlink" Target="https://www.avito.ru/all/zapchasti_i_aksessuary?q=lada%20vesta%20%D0%9F%D0%BE%D0%BB%D1%83%D0%BE%D1%81%D0%B8%20%2F%20%D0%A8%D0%A0%D0%A3%D0%A1%20%D0%B1%D1%83" TargetMode="External"/><Relationship Id="rId32" Type="http://schemas.openxmlformats.org/officeDocument/2006/relationships/hyperlink" Target="https://baza.drom.ru/sell_spare_parts/+/lada%20vesta%20%D0%9F%D0%BE%D0%BB%D1%83%D0%BE%D1%81%D0%B8%20%2F%20%D0%A8%D0%A0%D0%A3%D0%A1%20%D0%B1%D1%83/" TargetMode="External"/><Relationship Id="rId33" Type="http://schemas.openxmlformats.org/officeDocument/2006/relationships/hyperlink" Target="https://www.avito.ru/all/zapchasti_i_aksessuary?q=lada%20vesta%20%D0%A0%D1%8B%D1%87%D0%B0%D0%B3%20%D0%BF%D0%B5%D1%80%D0%B5%D0%B4%D0%BD%D0%B5%D0%B9%20%D0%BF%D0%BE%D0%B4%D0%B2%D0%B5%D1%81%D0%BA%D0%B8%20%D0%B1%D1%83" TargetMode="External"/><Relationship Id="rId34" Type="http://schemas.openxmlformats.org/officeDocument/2006/relationships/hyperlink" Target="https://baza.drom.ru/sell_spare_parts/+/lada%20vesta%20%D0%A0%D1%8B%D1%87%D0%B0%D0%B3%20%D0%BF%D0%B5%D1%80%D0%B5%D0%B4%D0%BD%D0%B5%D0%B9%20%D0%BF%D0%BE%D0%B4%D0%B2%D0%B5%D1%81%D0%BA%D0%B8%20%D0%B1%D1%83/" TargetMode="External"/><Relationship Id="rId35" Type="http://schemas.openxmlformats.org/officeDocument/2006/relationships/hyperlink" Target="https://www.avito.ru/all/zapchasti_i_aksessuary?q=lada%20vesta%20%D0%90%D0%BC%D0%BE%D1%80%D1%82%D0%B8%D0%B7%D0%B0%D1%82%D0%BE%D1%80%D1%8B%20%2F%20%D1%81%D1%82%D0%BE%D0%B9%D0%BA%D0%B8%20%D0%BF%D0%B5%D1%80%D0%B5%D0%B4-%D0%B7%D0%B0%D0%B4%20%D0%B1%D1%83" TargetMode="External"/><Relationship Id="rId36" Type="http://schemas.openxmlformats.org/officeDocument/2006/relationships/hyperlink" Target="https://baza.drom.ru/sell_spare_parts/+/lada%20vesta%20%D0%90%D0%BC%D0%BE%D1%80%D1%82%D0%B8%D0%B7%D0%B0%D1%82%D0%BE%D1%80%D1%8B%20%2F%20%D1%81%D1%82%D0%BE%D0%B9%D0%BA%D0%B8%20%D0%BF%D0%B5%D1%80%D0%B5%D0%B4-%D0%B7%D0%B0%D0%B4%20%D0%B1%D1%83/" TargetMode="External"/><Relationship Id="rId37" Type="http://schemas.openxmlformats.org/officeDocument/2006/relationships/hyperlink" Target="https://www.avito.ru/all/zapchasti_i_aksessuary?q=lada%20vesta%20%D0%9F%D1%80%D1%83%D0%B6%D0%B8%D0%BD%D1%8B%20%D0%B1%D1%83" TargetMode="External"/><Relationship Id="rId38" Type="http://schemas.openxmlformats.org/officeDocument/2006/relationships/hyperlink" Target="https://baza.drom.ru/sell_spare_parts/+/lada%20vesta%20%D0%9F%D1%80%D1%83%D0%B6%D0%B8%D0%BD%D1%8B%20%D0%B1%D1%83/" TargetMode="External"/><Relationship Id="rId39" Type="http://schemas.openxmlformats.org/officeDocument/2006/relationships/hyperlink" Target="https://www.avito.ru/all/zapchasti_i_aksessuary?q=lada%20vesta%20%D0%A0%D1%83%D0%BB%D0%B5%D0%B2%D0%B0%D1%8F%20%D0%BA%D0%BE%D0%BB%D0%BE%D0%BD%D0%BA%D0%B0%20%2B%20%D0%AD%D0%A3%D0%A0%20(%D0%B2%20%D1%81%D0%B1%D0%BE%D1%80%D0%B5)%20%D0%B1%D1%83" TargetMode="External"/><Relationship Id="rId40" Type="http://schemas.openxmlformats.org/officeDocument/2006/relationships/hyperlink" Target="https://baza.drom.ru/sell_spare_parts/+/lada%20vesta%20%D0%A0%D1%83%D0%BB%D0%B5%D0%B2%D0%B0%D1%8F%20%D0%BA%D0%BE%D0%BB%D0%BE%D0%BD%D0%BA%D0%B0%20%2B%20%D0%AD%D0%A3%D0%A0%20(%D0%B2%20%D1%81%D0%B1%D0%BE%D1%80%D0%B5)%20%D0%B1%D1%83/" TargetMode="External"/><Relationship Id="rId41" Type="http://schemas.openxmlformats.org/officeDocument/2006/relationships/hyperlink" Target="https://www.avito.ru/all/zapchasti_i_aksessuary?q=lada%20vesta%20%D0%AD%D0%A3%D0%A0%20(%D1%8D%D0%BB%D0%B5%D0%BA%D1%82%D1%80%D0%BE%D1%83%D1%81%D0%B8%D0%BB%D0%B8%D1%82%D0%B5%D0%BB%D1%8C%2C%20%D0%BE%D1%82%D0%B4%D0%B5%D0%BB%D1%8C%D0%BD%D0%BE)%20%D0%B1%D1%83" TargetMode="External"/><Relationship Id="rId42" Type="http://schemas.openxmlformats.org/officeDocument/2006/relationships/hyperlink" Target="https://baza.drom.ru/sell_spare_parts/+/lada%20vesta%20%D0%AD%D0%A3%D0%A0%20(%D1%8D%D0%BB%D0%B5%D0%BA%D1%82%D1%80%D0%BE%D1%83%D1%81%D0%B8%D0%BB%D0%B8%D1%82%D0%B5%D0%BB%D1%8C%2C%20%D0%BE%D1%82%D0%B4%D0%B5%D0%BB%D1%8C%D0%BD%D0%BE)%20%D0%B1%D1%83/" TargetMode="External"/><Relationship Id="rId43" Type="http://schemas.openxmlformats.org/officeDocument/2006/relationships/hyperlink" Target="https://www.avito.ru/all/zapchasti_i_aksessuary?q=lada%20vesta%20%D0%A1%D1%83%D0%BF%D0%BF%D0%BE%D1%80%D1%82%20%D0%BF%D0%B5%D1%80%D0%B5%D0%B4%D0%BD%D0%B8%D0%B9%2F%D0%B7%D0%B0%D0%B4%D0%BD%D0%B8%D0%B9%20%D0%B1%D1%83" TargetMode="External"/><Relationship Id="rId44" Type="http://schemas.openxmlformats.org/officeDocument/2006/relationships/hyperlink" Target="https://baza.drom.ru/sell_spare_parts/+/lada%20vesta%20%D0%A1%D1%83%D0%BF%D0%BF%D0%BE%D1%80%D1%82%20%D0%BF%D0%B5%D1%80%D0%B5%D0%B4%D0%BD%D0%B8%D0%B9%2F%D0%B7%D0%B0%D0%B4%D0%BD%D0%B8%D0%B9%20%D0%B1%D1%83/" TargetMode="External"/><Relationship Id="rId45" Type="http://schemas.openxmlformats.org/officeDocument/2006/relationships/hyperlink" Target="https://www.avito.ru/all/zapchasti_i_aksessuary?q=lada%20vesta%20%D0%A2%D0%BE%D1%80%D0%BC%D0%BE%D0%B7%D0%BD%D1%8B%D0%B5%20%D0%B4%D0%B8%D1%81%D0%BA%D0%B8%20%2F%20%D0%B1%D0%B0%D1%80%D0%B0%D0%B1%D0%B0%D0%BD%D1%8B%20%D0%B1%D1%83" TargetMode="External"/><Relationship Id="rId46" Type="http://schemas.openxmlformats.org/officeDocument/2006/relationships/hyperlink" Target="https://baza.drom.ru/sell_spare_parts/+/lada%20vesta%20%D0%A2%D0%BE%D1%80%D0%BC%D0%BE%D0%B7%D0%BD%D1%8B%D0%B5%20%D0%B4%D0%B8%D1%81%D0%BA%D0%B8%20%2F%20%D0%B1%D0%B0%D1%80%D0%B0%D0%B1%D0%B0%D0%BD%D1%8B%20%D0%B1%D1%83/" TargetMode="External"/><Relationship Id="rId47" Type="http://schemas.openxmlformats.org/officeDocument/2006/relationships/hyperlink" Target="https://www.avito.ru/all/zapchasti_i_aksessuary?q=lada%20vesta%20%D0%92%D0%B0%D0%BA%D1%83%D1%83%D0%BC%D0%BD%D1%8B%D0%B9%20%D1%83%D1%81%D0%B8%D0%BB%D0%B8%D1%82%D0%B5%D0%BB%D1%8C%20%2B%20%D0%93%D0%A2%D0%A6%20%D0%B1%D1%83" TargetMode="External"/><Relationship Id="rId48" Type="http://schemas.openxmlformats.org/officeDocument/2006/relationships/hyperlink" Target="https://baza.drom.ru/sell_spare_parts/+/lada%20vesta%20%D0%92%D0%B0%D0%BA%D1%83%D1%83%D0%BC%D0%BD%D1%8B%D0%B9%20%D1%83%D1%81%D0%B8%D0%BB%D0%B8%D1%82%D0%B5%D0%BB%D1%8C%20%2B%20%D0%93%D0%A2%D0%A6%20%D0%B1%D1%83/" TargetMode="External"/><Relationship Id="rId49" Type="http://schemas.openxmlformats.org/officeDocument/2006/relationships/hyperlink" Target="https://www.avito.ru/all/zapchasti_i_aksessuary?q=lada%20vesta%20%D0%91%D0%BB%D0%BE%D0%BA%20ABS%20%D0%B1%D1%83" TargetMode="External"/><Relationship Id="rId50" Type="http://schemas.openxmlformats.org/officeDocument/2006/relationships/hyperlink" Target="https://baza.drom.ru/sell_spare_parts/+/lada%20vesta%20%D0%91%D0%BB%D0%BE%D0%BA%20ABS%20%D0%B1%D1%83/" TargetMode="External"/><Relationship Id="rId51" Type="http://schemas.openxmlformats.org/officeDocument/2006/relationships/hyperlink" Target="https://www.avito.ru/all/zapchasti_i_aksessuary?q=lada%20vesta%20%D0%9A%D0%B0%D0%BF%D0%BE%D1%82%20(%D0%BE%D1%80%D0%B8%D0%B3%D0%B8%D0%BD%D0%B0%D0%BB)%20%D0%B1%D1%83" TargetMode="External"/><Relationship Id="rId52" Type="http://schemas.openxmlformats.org/officeDocument/2006/relationships/hyperlink" Target="https://baza.drom.ru/sell_spare_parts/+/lada%20vesta%20%D0%9A%D0%B0%D0%BF%D0%BE%D1%82%20(%D0%BE%D1%80%D0%B8%D0%B3%D0%B8%D0%BD%D0%B0%D0%BB)%20%D0%B1%D1%83/" TargetMode="External"/><Relationship Id="rId53" Type="http://schemas.openxmlformats.org/officeDocument/2006/relationships/hyperlink" Target="https://www.avito.ru/all/zapchasti_i_aksessuary?q=lada%20vesta%20%D0%A4%D0%B0%D1%80%D0%B0%20%D0%BF%D0%B5%D1%80%D0%B5%D0%B4%D0%BD%D1%8F%D1%8F%20(NG)%20%D0%B1%D1%83" TargetMode="External"/><Relationship Id="rId54" Type="http://schemas.openxmlformats.org/officeDocument/2006/relationships/hyperlink" Target="https://baza.drom.ru/sell_spare_parts/+/lada%20vesta%20%D0%A4%D0%B0%D1%80%D0%B0%20%D0%BF%D0%B5%D1%80%D0%B5%D0%B4%D0%BD%D1%8F%D1%8F%20(NG)%20%D0%B1%D1%83/" TargetMode="External"/><Relationship Id="rId55" Type="http://schemas.openxmlformats.org/officeDocument/2006/relationships/hyperlink" Target="https://www.avito.ru/all/zapchasti_i_aksessuary?q=lada%20vesta%20%D0%97%D0%B0%D0%B4%D0%BD%D0%B8%D0%B9%20%D1%84%D0%BE%D0%BD%D0%B0%D1%80%D1%8C%20%D0%BD%D0%B0%D1%80%D1%83%D0%B6%D0%BD%D1%8B%D0%B9%20%D0%B1%D1%83" TargetMode="External"/><Relationship Id="rId56" Type="http://schemas.openxmlformats.org/officeDocument/2006/relationships/hyperlink" Target="https://baza.drom.ru/sell_spare_parts/+/lada%20vesta%20%D0%97%D0%B0%D0%B4%D0%BD%D0%B8%D0%B9%20%D1%84%D0%BE%D0%BD%D0%B0%D1%80%D1%8C%20%D0%BD%D0%B0%D1%80%D1%83%D0%B6%D0%BD%D1%8B%D0%B9%20%D0%B1%D1%83/" TargetMode="External"/><Relationship Id="rId57" Type="http://schemas.openxmlformats.org/officeDocument/2006/relationships/hyperlink" Target="https://www.avito.ru/all/zapchasti_i_aksessuary?q=lada%20vesta%20%D0%9A%D1%80%D1%8B%D0%BB%D0%BE%20%D0%BF%D0%B5%D1%80%D0%B5%D0%B4%D0%BD%D0%B5%D0%B5%20%D0%B1%D1%83" TargetMode="External"/><Relationship Id="rId58" Type="http://schemas.openxmlformats.org/officeDocument/2006/relationships/hyperlink" Target="https://baza.drom.ru/sell_spare_parts/+/lada%20vesta%20%D0%9A%D1%80%D1%8B%D0%BB%D0%BE%20%D0%BF%D0%B5%D1%80%D0%B5%D0%B4%D0%BD%D0%B5%D0%B5%20%D0%B1%D1%83/" TargetMode="External"/><Relationship Id="rId59" Type="http://schemas.openxmlformats.org/officeDocument/2006/relationships/hyperlink" Target="https://www.avito.ru/all/zapchasti_i_aksessuary?q=lada%20vesta%20%D0%91%D0%B0%D0%BC%D0%BF%D0%B5%D1%80%20%D0%BF%D0%B5%D1%80%D0%B5%D0%B4%D0%BD%D0%B8%D0%B9%2F%D0%B7%D0%B0%D0%B4%D0%BD%D0%B8%D0%B9%20%D0%B1%D1%83" TargetMode="External"/><Relationship Id="rId60" Type="http://schemas.openxmlformats.org/officeDocument/2006/relationships/hyperlink" Target="https://baza.drom.ru/sell_spare_parts/+/lada%20vesta%20%D0%91%D0%B0%D0%BC%D0%BF%D0%B5%D1%80%20%D0%BF%D0%B5%D1%80%D0%B5%D0%B4%D0%BD%D0%B8%D0%B9%2F%D0%B7%D0%B0%D0%B4%D0%BD%D0%B8%D0%B9%20%D0%B1%D1%83/" TargetMode="External"/><Relationship Id="rId61" Type="http://schemas.openxmlformats.org/officeDocument/2006/relationships/hyperlink" Target="https://www.avito.ru/all/zapchasti_i_aksessuary?q=lada%20vesta%20%D0%94%D0%B2%D0%B5%D1%80%D1%8C%20%D0%BF%D0%B5%D1%80%D0%B5%D0%B4%D0%BD%D1%8F%D1%8F%20%D0%B1%D1%83" TargetMode="External"/><Relationship Id="rId62" Type="http://schemas.openxmlformats.org/officeDocument/2006/relationships/hyperlink" Target="https://baza.drom.ru/sell_spare_parts/+/lada%20vesta%20%D0%94%D0%B2%D0%B5%D1%80%D1%8C%20%D0%BF%D0%B5%D1%80%D0%B5%D0%B4%D0%BD%D1%8F%D1%8F%20%D0%B1%D1%83/" TargetMode="External"/><Relationship Id="rId63" Type="http://schemas.openxmlformats.org/officeDocument/2006/relationships/hyperlink" Target="https://www.avito.ru/all/zapchasti_i_aksessuary?q=lada%20vesta%20%D0%9B%D0%BE%D0%B1%D0%BE%D0%B2%D0%BE%D0%B5%20%D1%81%D1%82%D0%B5%D0%BA%D0%BB%D0%BE%20%D0%B1%D1%83" TargetMode="External"/><Relationship Id="rId64" Type="http://schemas.openxmlformats.org/officeDocument/2006/relationships/hyperlink" Target="https://baza.drom.ru/sell_spare_parts/+/lada%20vesta%20%D0%9B%D0%BE%D0%B1%D0%BE%D0%B2%D0%BE%D0%B5%20%D1%81%D1%82%D0%B5%D0%BA%D0%BB%D0%BE%20%D0%B1%D1%83/" TargetMode="External"/><Relationship Id="rId65" Type="http://schemas.openxmlformats.org/officeDocument/2006/relationships/hyperlink" Target="https://www.avito.ru/all/zapchasti_i_aksessuary?q=lada%20vesta%20%D0%A0%D0%B5%D1%88%D1%91%D1%82%D0%BA%D0%B0%20%D1%80%D0%B0%D0%B4%D0%B8%D0%B0%D1%82%D0%BE%D1%80%D0%B0%20%D0%B1%D1%83" TargetMode="External"/><Relationship Id="rId66" Type="http://schemas.openxmlformats.org/officeDocument/2006/relationships/hyperlink" Target="https://baza.drom.ru/sell_spare_parts/+/lada%20vesta%20%D0%A0%D0%B5%D1%88%D1%91%D1%82%D0%BA%D0%B0%20%D1%80%D0%B0%D0%B4%D0%B8%D0%B0%D1%82%D0%BE%D1%80%D0%B0%20%D0%B1%D1%83/" TargetMode="External"/><Relationship Id="rId67" Type="http://schemas.openxmlformats.org/officeDocument/2006/relationships/hyperlink" Target="https://www.avito.ru/all/zapchasti_i_aksessuary?q=lada%20vesta%20%D0%9A%D1%80%D1%8B%D1%88%D0%BA%D0%B0%20%D0%B1%D0%B0%D0%B3%D0%B0%D0%B6%D0%BD%D0%B8%D0%BA%D0%B0%20%D0%B1%D1%83" TargetMode="External"/><Relationship Id="rId68" Type="http://schemas.openxmlformats.org/officeDocument/2006/relationships/hyperlink" Target="https://baza.drom.ru/sell_spare_parts/+/lada%20vesta%20%D0%9A%D1%80%D1%8B%D1%88%D0%BA%D0%B0%20%D0%B1%D0%B0%D0%B3%D0%B0%D0%B6%D0%BD%D0%B8%D0%BA%D0%B0%20%D0%B1%D1%83/" TargetMode="External"/><Relationship Id="rId69" Type="http://schemas.openxmlformats.org/officeDocument/2006/relationships/hyperlink" Target="https://www.avito.ru/all/zapchasti_i_aksessuary?q=lada%20vesta%20%D0%AD%D0%91%D0%A3%20(%D0%BC%D0%BE%D0%B7%D0%B3%D0%B8)%20%D0%B1%D1%83" TargetMode="External"/><Relationship Id="rId70" Type="http://schemas.openxmlformats.org/officeDocument/2006/relationships/hyperlink" Target="https://baza.drom.ru/sell_spare_parts/+/lada%20vesta%20%D0%AD%D0%91%D0%A3%20(%D0%BC%D0%BE%D0%B7%D0%B3%D0%B8)%20%D0%B1%D1%83/" TargetMode="External"/><Relationship Id="rId71" Type="http://schemas.openxmlformats.org/officeDocument/2006/relationships/hyperlink" Target="https://www.avito.ru/all/zapchasti_i_aksessuary?q=lada%20vesta%20%D0%9F%D0%B0%D0%BD%D0%B5%D0%BB%D1%8C%20%D0%BF%D1%80%D0%B8%D0%B1%D0%BE%D1%80%D0%BE%D0%B2%20(%D0%BA%D0%BE%D0%BC%D0%B1%D0%B8%D0%BD%D0%B0%D1%86%D0%B8%D1%8F)%20%D0%B1%D1%83" TargetMode="External"/><Relationship Id="rId72" Type="http://schemas.openxmlformats.org/officeDocument/2006/relationships/hyperlink" Target="https://baza.drom.ru/sell_spare_parts/+/lada%20vesta%20%D0%9F%D0%B0%D0%BD%D0%B5%D0%BB%D1%8C%20%D0%BF%D1%80%D0%B8%D0%B1%D0%BE%D1%80%D0%BE%D0%B2%20(%D0%BA%D0%BE%D0%BC%D0%B1%D0%B8%D0%BD%D0%B0%D1%86%D0%B8%D1%8F)%20%D0%B1%D1%83/" TargetMode="External"/><Relationship Id="rId73" Type="http://schemas.openxmlformats.org/officeDocument/2006/relationships/hyperlink" Target="https://www.avito.ru/all/zapchasti_i_aksessuary?q=lada%20vesta%20%D0%9C%D1%83%D0%BB%D1%8C%D1%82%D0%B8%D0%BC%D0%B5%D0%B4%D0%B8%D0%B0%20%D0%9C%D0%9C%D0%A1%20(%D0%BC%D0%B0%D0%B3%D0%BD%D0%B8%D1%82%D0%BE%D0%BB%D0%B0)%20%D0%B1%D1%83" TargetMode="External"/><Relationship Id="rId74" Type="http://schemas.openxmlformats.org/officeDocument/2006/relationships/hyperlink" Target="https://baza.drom.ru/sell_spare_parts/+/lada%20vesta%20%D0%9C%D1%83%D0%BB%D1%8C%D1%82%D0%B8%D0%BC%D0%B5%D0%B4%D0%B8%D0%B0%20%D0%9C%D0%9C%D0%A1%20(%D0%BC%D0%B0%D0%B3%D0%BD%D0%B8%D1%82%D0%BE%D0%BB%D0%B0)%20%D0%B1%D1%83/" TargetMode="External"/><Relationship Id="rId75" Type="http://schemas.openxmlformats.org/officeDocument/2006/relationships/hyperlink" Target="https://www.avito.ru/all/zapchasti_i_aksessuary?q=lada%20vesta%20%D0%A2%D1%80%D0%B0%D0%BF%D0%B5%D1%86%D0%B8%D1%8F%20%D0%B4%D0%B2%D0%BE%D1%80%D0%BD%D0%B8%D0%BA%D0%BE%D0%B2%20(%D1%81%20%D0%BC%D0%BE%D1%82%D0%BE%D1%80%D0%BE%D0%BC)%20%D0%B1%D1%83" TargetMode="External"/><Relationship Id="rId76" Type="http://schemas.openxmlformats.org/officeDocument/2006/relationships/hyperlink" Target="https://baza.drom.ru/sell_spare_parts/+/lada%20vesta%20%D0%A2%D1%80%D0%B0%D0%BF%D0%B5%D1%86%D0%B8%D1%8F%20%D0%B4%D0%B2%D0%BE%D1%80%D0%BD%D0%B8%D0%BA%D0%BE%D0%B2%20(%D1%81%20%D0%BC%D0%BE%D1%82%D0%BE%D1%80%D0%BE%D0%BC)%20%D0%B1%D1%83/" TargetMode="External"/><Relationship Id="rId77" Type="http://schemas.openxmlformats.org/officeDocument/2006/relationships/hyperlink" Target="https://www.avito.ru/all/zapchasti_i_aksessuary?q=lada%20vesta%20%D0%9C%D0%BE%D1%82%D0%BE%D1%80%D1%87%D0%B8%D0%BA%20%D1%81%D1%82%D0%B5%D0%BA%D0%BB%D0%BE%D0%BF%D0%BE%D0%B4%D1%8A%D1%91%D0%BC%D0%BD%D0%B8%D0%BA%D0%B0%20%2F%20%D0%B7%D0%B0%D0%BC%D0%BA%D0%B8%20%2F%20%D0%B6%D0%B3%D1%83%D1%82%D1%8B%20%D0%B1%D1%83" TargetMode="External"/><Relationship Id="rId78" Type="http://schemas.openxmlformats.org/officeDocument/2006/relationships/hyperlink" Target="https://baza.drom.ru/sell_spare_parts/+/lada%20vesta%20%D0%9C%D0%BE%D1%82%D0%BE%D1%80%D1%87%D0%B8%D0%BA%20%D1%81%D1%82%D0%B5%D0%BA%D0%BB%D0%BE%D0%BF%D0%BE%D0%B4%D1%8A%D1%91%D0%BC%D0%BD%D0%B8%D0%BA%D0%B0%20%2F%20%D0%B7%D0%B0%D0%BC%D0%BA%D0%B8%20%2F%20%D0%B6%D0%B3%D1%83%D1%82%D1%8B%20%D0%B1%D1%83/" TargetMode="External"/><Relationship Id="rId79" Type="http://schemas.openxmlformats.org/officeDocument/2006/relationships/hyperlink" Target="https://www.avito.ru/all/zapchasti_i_aksessuary?q=lada%20vesta%20%D0%A1%D0%B8%D0%B4%D0%B5%D0%BD%D1%8C%D1%8F%20%D0%BF%D0%B5%D1%80%D0%B5%D0%B4%D0%BD%D0%B8%D0%B5%20(%D0%BA%D0%BE%D0%BC%D0%BF%D0%BB%D0%B5%D0%BA%D1%82)%20%D0%B1%D1%83" TargetMode="External"/><Relationship Id="rId80" Type="http://schemas.openxmlformats.org/officeDocument/2006/relationships/hyperlink" Target="https://baza.drom.ru/sell_spare_parts/+/lada%20vesta%20%D0%A1%D0%B8%D0%B4%D0%B5%D0%BD%D1%8C%D1%8F%20%D0%BF%D0%B5%D1%80%D0%B5%D0%B4%D0%BD%D0%B8%D0%B5%20(%D0%BA%D0%BE%D0%BC%D0%BF%D0%BB%D0%B5%D0%BA%D1%82)%20%D0%B1%D1%83/" TargetMode="External"/><Relationship Id="rId81" Type="http://schemas.openxmlformats.org/officeDocument/2006/relationships/hyperlink" Target="https://www.avito.ru/all/zapchasti_i_aksessuary?q=lada%20vesta%20%D0%9F%D0%BE%D0%B4%D1%83%D1%88%D0%BA%D0%B0%20%D0%B1%D0%B5%D0%B7%D0%BE%D0%BF%D0%B0%D1%81%D0%BD%D0%BE%D1%81%D1%82%D0%B8%20(%D0%B2%D0%BE%D0%B4%D0%B8%D1%82%D0%B5%D0%BB%D1%8C%2C%20%D1%80%D1%83%D0%BB%D1%8C)%20%D0%B1%D1%83" TargetMode="External"/><Relationship Id="rId82" Type="http://schemas.openxmlformats.org/officeDocument/2006/relationships/hyperlink" Target="https://baza.drom.ru/sell_spare_parts/+/lada%20vesta%20%D0%9F%D0%BE%D0%B4%D1%83%D1%88%D0%BA%D0%B0%20%D0%B1%D0%B5%D0%B7%D0%BE%D0%BF%D0%B0%D1%81%D0%BD%D0%BE%D1%81%D1%82%D0%B8%20(%D0%B2%D0%BE%D0%B4%D0%B8%D1%82%D0%B5%D0%BB%D1%8C%2C%20%D1%80%D1%83%D0%BB%D1%8C)%20%D0%B1%D1%83/" TargetMode="External"/><Relationship Id="rId83" Type="http://schemas.openxmlformats.org/officeDocument/2006/relationships/hyperlink" Target="https://www.avito.ru/all/zapchasti_i_aksessuary?q=lada%20vesta%20%D0%A0%D1%83%D0%BB%D1%8C%20%2F%20%D0%BC%D1%83%D0%BB%D1%8C%D1%82%D0%B8%D1%80%D1%83%D0%BB%D1%8C%20%D0%B1%D1%83" TargetMode="External"/><Relationship Id="rId84" Type="http://schemas.openxmlformats.org/officeDocument/2006/relationships/hyperlink" Target="https://baza.drom.ru/sell_spare_parts/+/lada%20vesta%20%D0%A0%D1%83%D0%BB%D1%8C%20%2F%20%D0%BC%D1%83%D0%BB%D1%8C%D1%82%D0%B8%D1%80%D1%83%D0%BB%D1%8C%20%D0%B1%D1%83/" TargetMode="External"/><Relationship Id="rId85" Type="http://schemas.openxmlformats.org/officeDocument/2006/relationships/hyperlink" Target="https://www.avito.ru/all/zapchasti_i_aksessuary?q=lada%20vesta%20%D0%A7%D0%B5%D1%85%D0%BB%D1%8B%20%D0%B1%D1%83" TargetMode="External"/><Relationship Id="rId86" Type="http://schemas.openxmlformats.org/officeDocument/2006/relationships/hyperlink" Target="https://baza.drom.ru/sell_spare_parts/+/lada%20vesta%20%D0%A7%D0%B5%D1%85%D0%BB%D1%8B%20%D0%B1%D1%83/" TargetMode="External"/><Relationship Id="rId87" Type="http://schemas.openxmlformats.org/officeDocument/2006/relationships/hyperlink" Target="https://www.avito.ru/all/zapchasti_i_aksessuary?q=lada%20vesta%20%D0%9A%D0%BE%D0%B2%D1%80%D0%B8%D0%BA%D0%B8%20%2F%20%D0%BE%D0%B1%D1%88%D0%B8%D0%B2%D0%BA%D0%B0%20%2F%20%D0%B4%D0%B2%D0%B5%D1%80%D0%BD%D1%8B%D0%B5%20%D0%BA%D0%B0%D1%80%D1%82%D1%8B%20%D0%B1%D1%83" TargetMode="External"/><Relationship Id="rId88" Type="http://schemas.openxmlformats.org/officeDocument/2006/relationships/hyperlink" Target="https://baza.drom.ru/sell_spare_parts/+/lada%20vesta%20%D0%9A%D0%BE%D0%B2%D1%80%D0%B8%D0%BA%D0%B8%20%2F%20%D0%BE%D0%B1%D1%88%D0%B8%D0%B2%D0%BA%D0%B0%20%2F%20%D0%B4%D0%B2%D0%B5%D1%80%D0%BD%D1%8B%D0%B5%20%D0%BA%D0%B0%D1%80%D1%82%D1%8B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COUNTA('Прайс'!$C$4:$C$47)</f>
        <v>44</v>
      </c>
      <c r="C4" s="4">
        <f>COUNTA('Дашборд'!$B$9:$B$15)</f>
        <v>7</v>
      </c>
      <c r="E4" s="4">
        <f>COUNT('Прайс'!$E$4:$E$47)</f>
        <v>17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COUNTIF('Прайс'!$B$4:$B$47,A10)</f>
        <v>12</v>
      </c>
      <c r="C10" s="9">
        <f>AVERAGEIF('Прайс'!$B$4:$B$47,A10,'Прайс'!$E$4:$E$47)</f>
        <v>16360</v>
      </c>
      <c r="D10" s="9">
        <f>AVERAGEIF('Прайс'!$B$4:$B$47,A10,'Прайс'!$F$4:$F$47)</f>
        <v>16360</v>
      </c>
      <c r="E10" s="9">
        <f>ROUND((C10+D10)/2,0)</f>
        <v>16360</v>
      </c>
      <c r="F10" s="9">
        <f>D10-C10</f>
        <v>0</v>
      </c>
    </row>
    <row r="11" spans="1:6" x14ac:dyDescent="0.25">
      <c r="A11" s="7" t="s">
        <v>13</v>
      </c>
      <c r="B11" s="8">
        <f>COUNTIF('Прайс'!$B$4:$B$47,A11)</f>
        <v>4</v>
      </c>
      <c r="C11" s="9">
        <f>AVERAGEIF('Прайс'!$B$4:$B$47,A11,'Прайс'!$E$4:$E$47)</f>
        <v>26000</v>
      </c>
      <c r="D11" s="9">
        <f>AVERAGEIF('Прайс'!$B$4:$B$47,A11,'Прайс'!$F$4:$F$47)</f>
        <v>26000</v>
      </c>
      <c r="E11" s="9">
        <f>ROUND((C11+D11)/2,0)</f>
        <v>26000</v>
      </c>
      <c r="F11" s="9">
        <f>D11-C11</f>
        <v>0</v>
      </c>
    </row>
    <row r="12" spans="1:6" x14ac:dyDescent="0.25">
      <c r="A12" s="7" t="s">
        <v>14</v>
      </c>
      <c r="B12" s="8">
        <f>COUNTIF('Прайс'!$B$4:$B$47,A12)</f>
        <v>5</v>
      </c>
      <c r="C12" s="9">
        <f>AVERAGEIF('Прайс'!$B$4:$B$47,A12,'Прайс'!$E$4:$E$47)</f>
        <v>8092</v>
      </c>
      <c r="D12" s="9">
        <f>AVERAGEIF('Прайс'!$B$4:$B$47,A12,'Прайс'!$F$4:$F$47)</f>
        <v>21833</v>
      </c>
      <c r="E12" s="9">
        <f>ROUND((C12+D12)/2,0)</f>
        <v>14963</v>
      </c>
      <c r="F12" s="9">
        <f>D12-C12</f>
        <v>13741</v>
      </c>
    </row>
    <row r="13" spans="1:6" x14ac:dyDescent="0.25">
      <c r="A13" s="7" t="s">
        <v>15</v>
      </c>
      <c r="B13" s="8">
        <f>COUNTIF('Прайс'!$B$4:$B$47,A13)</f>
        <v>4</v>
      </c>
      <c r="C13" s="9">
        <f>AVERAGEIF('Прайс'!$B$4:$B$47,A13,'Прайс'!$E$4:$E$47)</f>
        <v>0</v>
      </c>
      <c r="D13" s="9">
        <f>AVERAGEIF('Прайс'!$B$4:$B$47,A13,'Прайс'!$F$4:$F$47)</f>
        <v>0</v>
      </c>
      <c r="E13" s="9">
        <f>ROUND((C13+D13)/2,0)</f>
        <v>0</v>
      </c>
      <c r="F13" s="9">
        <f>D13-C13</f>
        <v>0</v>
      </c>
    </row>
    <row r="14" spans="1:6" x14ac:dyDescent="0.25">
      <c r="A14" s="7" t="s">
        <v>16</v>
      </c>
      <c r="B14" s="8">
        <f>COUNTIF('Прайс'!$B$4:$B$47,A14)</f>
        <v>9</v>
      </c>
      <c r="C14" s="9">
        <f>AVERAGEIF('Прайс'!$B$4:$B$47,A14,'Прайс'!$E$4:$E$47)</f>
        <v>12708</v>
      </c>
      <c r="D14" s="9">
        <f>AVERAGEIF('Прайс'!$B$4:$B$47,A14,'Прайс'!$F$4:$F$47)</f>
        <v>12708</v>
      </c>
      <c r="E14" s="9">
        <f>ROUND((C14+D14)/2,0)</f>
        <v>12708</v>
      </c>
      <c r="F14" s="9">
        <f>D14-C14</f>
        <v>0</v>
      </c>
    </row>
    <row r="15" spans="1:6" x14ac:dyDescent="0.25">
      <c r="A15" s="7" t="s">
        <v>17</v>
      </c>
      <c r="B15" s="8">
        <f>COUNTIF('Прайс'!$B$4:$B$47,A15)</f>
        <v>5</v>
      </c>
      <c r="C15" s="9">
        <f>AVERAGEIF('Прайс'!$B$4:$B$47,A15,'Прайс'!$E$4:$E$47)</f>
        <v>10278</v>
      </c>
      <c r="D15" s="9">
        <f>AVERAGEIF('Прайс'!$B$4:$B$47,A15,'Прайс'!$F$4:$F$47)</f>
        <v>10278</v>
      </c>
      <c r="E15" s="9">
        <f>ROUND((C15+D15)/2,0)</f>
        <v>10278</v>
      </c>
      <c r="F15" s="9">
        <f>D15-C15</f>
        <v>0</v>
      </c>
    </row>
    <row r="16" spans="1:6" x14ac:dyDescent="0.25">
      <c r="A16" s="7" t="s">
        <v>18</v>
      </c>
      <c r="B16" s="8">
        <f>COUNTIF('Прайс'!$B$4:$B$47,A16)</f>
        <v>5</v>
      </c>
      <c r="C16" s="9">
        <f>AVERAGEIF('Прайс'!$B$4:$B$47,A16,'Прайс'!$E$4:$E$47)</f>
        <v>15500</v>
      </c>
      <c r="D16" s="9">
        <f>AVERAGEIF('Прайс'!$B$4:$B$47,A16,'Прайс'!$F$4:$F$47)</f>
        <v>15500</v>
      </c>
      <c r="E16" s="9">
        <f>ROUND((C16+D16)/2,0)</f>
        <v>15500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{94914893-5C96-4930-9327-47387F81B8FC}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914893-5C96-4930-9327-47387F81B8FC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50" customWidth="1"/>
    <col min="9" max="9" width="14" customWidth="1"/>
    <col min="10" max="11" width="24" customWidth="1"/>
  </cols>
  <sheetData>
    <row r="1" ht="28" customHeight="1" spans="1:11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24</v>
      </c>
      <c r="B3" s="6" t="s">
        <v>6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10</v>
      </c>
      <c r="H3" s="6" t="s">
        <v>29</v>
      </c>
      <c r="I3" s="6" t="s">
        <v>30</v>
      </c>
      <c r="J3" s="6" t="s">
        <v>31</v>
      </c>
      <c r="K3" s="6" t="s">
        <v>32</v>
      </c>
    </row>
    <row r="4" ht="24" customHeight="1" spans="1:11" x14ac:dyDescent="0.25">
      <c r="A4" s="11">
        <v>1</v>
      </c>
      <c r="B4" s="7" t="s">
        <v>12</v>
      </c>
      <c r="C4" s="7" t="s">
        <v>33</v>
      </c>
      <c r="D4" s="7" t="s">
        <v>34</v>
      </c>
      <c r="E4" s="9">
        <v>60000</v>
      </c>
      <c r="F4" s="9">
        <v>60000</v>
      </c>
      <c r="G4" s="9">
        <f>ROUND((E4+F4)/2,0)</f>
        <v>60000</v>
      </c>
      <c r="H4" s="12" t="s">
        <v>35</v>
      </c>
      <c r="I4" s="9">
        <f>E4</f>
        <v>60000</v>
      </c>
      <c r="J4" s="13" t="s">
        <v>31</v>
      </c>
      <c r="K4" s="14" t="s">
        <v>32</v>
      </c>
    </row>
    <row r="5" ht="24" customHeight="1" spans="1:11" x14ac:dyDescent="0.25">
      <c r="A5" s="11">
        <v>2</v>
      </c>
      <c r="B5" s="7" t="s">
        <v>12</v>
      </c>
      <c r="C5" s="7" t="s">
        <v>36</v>
      </c>
      <c r="D5" s="7" t="s">
        <v>34</v>
      </c>
      <c r="E5" s="15" t="s">
        <v>37</v>
      </c>
      <c r="F5" s="15" t="s">
        <v>37</v>
      </c>
      <c r="G5" s="15" t="s">
        <v>37</v>
      </c>
      <c r="H5" s="12" t="s">
        <v>38</v>
      </c>
      <c r="I5" s="15" t="s">
        <v>37</v>
      </c>
      <c r="J5" s="13" t="s">
        <v>31</v>
      </c>
      <c r="K5" s="14" t="s">
        <v>32</v>
      </c>
    </row>
    <row r="6" ht="24" customHeight="1" spans="1:11" x14ac:dyDescent="0.25">
      <c r="A6" s="11">
        <v>3</v>
      </c>
      <c r="B6" s="7" t="s">
        <v>12</v>
      </c>
      <c r="C6" s="7" t="s">
        <v>39</v>
      </c>
      <c r="D6" s="7" t="s">
        <v>40</v>
      </c>
      <c r="E6" s="15" t="s">
        <v>37</v>
      </c>
      <c r="F6" s="15" t="s">
        <v>37</v>
      </c>
      <c r="G6" s="15" t="s">
        <v>37</v>
      </c>
      <c r="H6" s="12" t="s">
        <v>41</v>
      </c>
      <c r="I6" s="15" t="s">
        <v>37</v>
      </c>
      <c r="J6" s="13" t="s">
        <v>31</v>
      </c>
      <c r="K6" s="14" t="s">
        <v>32</v>
      </c>
    </row>
    <row r="7" ht="24" customHeight="1" spans="1:11" x14ac:dyDescent="0.25">
      <c r="A7" s="11">
        <v>4</v>
      </c>
      <c r="B7" s="7" t="s">
        <v>12</v>
      </c>
      <c r="C7" s="7" t="s">
        <v>42</v>
      </c>
      <c r="D7" s="7" t="s">
        <v>43</v>
      </c>
      <c r="E7" s="9">
        <v>10000</v>
      </c>
      <c r="F7" s="9">
        <v>10000</v>
      </c>
      <c r="G7" s="9">
        <f>ROUND((E7+F7)/2,0)</f>
        <v>10000</v>
      </c>
      <c r="H7" s="12" t="s">
        <v>44</v>
      </c>
      <c r="I7" s="9">
        <f>E7</f>
        <v>10000</v>
      </c>
      <c r="J7" s="13" t="s">
        <v>31</v>
      </c>
      <c r="K7" s="14" t="s">
        <v>32</v>
      </c>
    </row>
    <row r="8" ht="24" customHeight="1" spans="1:11" x14ac:dyDescent="0.25">
      <c r="A8" s="11">
        <v>5</v>
      </c>
      <c r="B8" s="7" t="s">
        <v>12</v>
      </c>
      <c r="C8" s="7" t="s">
        <v>45</v>
      </c>
      <c r="D8" s="7" t="s">
        <v>46</v>
      </c>
      <c r="E8" s="15" t="s">
        <v>37</v>
      </c>
      <c r="F8" s="15" t="s">
        <v>37</v>
      </c>
      <c r="G8" s="15" t="s">
        <v>37</v>
      </c>
      <c r="H8" s="12" t="s">
        <v>47</v>
      </c>
      <c r="I8" s="15" t="s">
        <v>37</v>
      </c>
      <c r="J8" s="13" t="s">
        <v>31</v>
      </c>
      <c r="K8" s="14" t="s">
        <v>32</v>
      </c>
    </row>
    <row r="9" ht="24" customHeight="1" spans="1:11" x14ac:dyDescent="0.25">
      <c r="A9" s="11">
        <v>6</v>
      </c>
      <c r="B9" s="7" t="s">
        <v>12</v>
      </c>
      <c r="C9" s="7" t="s">
        <v>48</v>
      </c>
      <c r="D9" s="7" t="s">
        <v>49</v>
      </c>
      <c r="E9" s="15" t="s">
        <v>37</v>
      </c>
      <c r="F9" s="15" t="s">
        <v>37</v>
      </c>
      <c r="G9" s="15" t="s">
        <v>37</v>
      </c>
      <c r="H9" s="12" t="s">
        <v>50</v>
      </c>
      <c r="I9" s="15" t="s">
        <v>37</v>
      </c>
      <c r="J9" s="13" t="s">
        <v>31</v>
      </c>
      <c r="K9" s="14" t="s">
        <v>32</v>
      </c>
    </row>
    <row r="10" ht="24" customHeight="1" spans="1:11" x14ac:dyDescent="0.25">
      <c r="A10" s="11">
        <v>7</v>
      </c>
      <c r="B10" s="7" t="s">
        <v>12</v>
      </c>
      <c r="C10" s="7" t="s">
        <v>51</v>
      </c>
      <c r="D10" s="7" t="s">
        <v>52</v>
      </c>
      <c r="E10" s="9">
        <v>8000</v>
      </c>
      <c r="F10" s="9">
        <v>8000</v>
      </c>
      <c r="G10" s="9">
        <f>ROUND((E10+F10)/2,0)</f>
        <v>8000</v>
      </c>
      <c r="H10" s="12" t="s">
        <v>53</v>
      </c>
      <c r="I10" s="9">
        <f>E10</f>
        <v>8000</v>
      </c>
      <c r="J10" s="13" t="s">
        <v>31</v>
      </c>
      <c r="K10" s="14" t="s">
        <v>32</v>
      </c>
    </row>
    <row r="11" ht="24" customHeight="1" spans="1:11" x14ac:dyDescent="0.25">
      <c r="A11" s="11">
        <v>8</v>
      </c>
      <c r="B11" s="7" t="s">
        <v>12</v>
      </c>
      <c r="C11" s="7" t="s">
        <v>54</v>
      </c>
      <c r="D11" s="7" t="s">
        <v>55</v>
      </c>
      <c r="E11" s="15" t="s">
        <v>37</v>
      </c>
      <c r="F11" s="15" t="s">
        <v>37</v>
      </c>
      <c r="G11" s="15" t="s">
        <v>37</v>
      </c>
      <c r="H11" s="12" t="s">
        <v>56</v>
      </c>
      <c r="I11" s="15" t="s">
        <v>37</v>
      </c>
      <c r="J11" s="13" t="s">
        <v>31</v>
      </c>
      <c r="K11" s="14" t="s">
        <v>32</v>
      </c>
    </row>
    <row r="12" ht="24" customHeight="1" spans="1:11" x14ac:dyDescent="0.25">
      <c r="A12" s="11">
        <v>9</v>
      </c>
      <c r="B12" s="7" t="s">
        <v>12</v>
      </c>
      <c r="C12" s="7" t="s">
        <v>57</v>
      </c>
      <c r="D12" s="7" t="s">
        <v>58</v>
      </c>
      <c r="E12" s="9">
        <v>2300</v>
      </c>
      <c r="F12" s="9">
        <v>2300</v>
      </c>
      <c r="G12" s="9">
        <f>ROUND((E12+F12)/2,0)</f>
        <v>2300</v>
      </c>
      <c r="H12" s="12" t="s">
        <v>59</v>
      </c>
      <c r="I12" s="9">
        <f>E12</f>
        <v>2300</v>
      </c>
      <c r="J12" s="13" t="s">
        <v>31</v>
      </c>
      <c r="K12" s="14" t="s">
        <v>32</v>
      </c>
    </row>
    <row r="13" ht="24" customHeight="1" spans="1:11" x14ac:dyDescent="0.25">
      <c r="A13" s="11">
        <v>10</v>
      </c>
      <c r="B13" s="7" t="s">
        <v>12</v>
      </c>
      <c r="C13" s="7" t="s">
        <v>60</v>
      </c>
      <c r="D13" s="7" t="s">
        <v>61</v>
      </c>
      <c r="E13" s="9">
        <v>1500</v>
      </c>
      <c r="F13" s="9">
        <v>1500</v>
      </c>
      <c r="G13" s="9">
        <f>ROUND((E13+F13)/2,0)</f>
        <v>1500</v>
      </c>
      <c r="H13" s="12" t="s">
        <v>62</v>
      </c>
      <c r="I13" s="9">
        <f>E13</f>
        <v>1500</v>
      </c>
      <c r="J13" s="13" t="s">
        <v>31</v>
      </c>
      <c r="K13" s="14" t="s">
        <v>32</v>
      </c>
    </row>
    <row r="14" ht="24" customHeight="1" spans="1:11" x14ac:dyDescent="0.25">
      <c r="A14" s="11">
        <v>11</v>
      </c>
      <c r="B14" s="7" t="s">
        <v>12</v>
      </c>
      <c r="C14" s="7" t="s">
        <v>63</v>
      </c>
      <c r="D14" s="7" t="s">
        <v>64</v>
      </c>
      <c r="E14" s="15" t="s">
        <v>37</v>
      </c>
      <c r="F14" s="15" t="s">
        <v>37</v>
      </c>
      <c r="G14" s="15" t="s">
        <v>37</v>
      </c>
      <c r="H14" s="12" t="s">
        <v>65</v>
      </c>
      <c r="I14" s="15" t="s">
        <v>37</v>
      </c>
      <c r="J14" s="13" t="s">
        <v>31</v>
      </c>
      <c r="K14" s="14" t="s">
        <v>32</v>
      </c>
    </row>
    <row r="15" ht="24" customHeight="1" spans="1:11" x14ac:dyDescent="0.25">
      <c r="A15" s="11">
        <v>12</v>
      </c>
      <c r="B15" s="7" t="s">
        <v>12</v>
      </c>
      <c r="C15" s="7" t="s">
        <v>66</v>
      </c>
      <c r="D15" s="7" t="s">
        <v>67</v>
      </c>
      <c r="E15" s="15" t="s">
        <v>37</v>
      </c>
      <c r="F15" s="15" t="s">
        <v>37</v>
      </c>
      <c r="G15" s="15" t="s">
        <v>37</v>
      </c>
      <c r="H15" s="12" t="s">
        <v>68</v>
      </c>
      <c r="I15" s="15" t="s">
        <v>37</v>
      </c>
      <c r="J15" s="13" t="s">
        <v>31</v>
      </c>
      <c r="K15" s="14" t="s">
        <v>32</v>
      </c>
    </row>
    <row r="16" ht="24" customHeight="1" spans="1:11" x14ac:dyDescent="0.25">
      <c r="A16" s="11">
        <v>13</v>
      </c>
      <c r="B16" s="7" t="s">
        <v>13</v>
      </c>
      <c r="C16" s="7" t="s">
        <v>69</v>
      </c>
      <c r="D16" s="7" t="s">
        <v>70</v>
      </c>
      <c r="E16" s="15" t="s">
        <v>37</v>
      </c>
      <c r="F16" s="15" t="s">
        <v>37</v>
      </c>
      <c r="G16" s="15" t="s">
        <v>37</v>
      </c>
      <c r="H16" s="12" t="s">
        <v>71</v>
      </c>
      <c r="I16" s="15" t="s">
        <v>37</v>
      </c>
      <c r="J16" s="13" t="s">
        <v>31</v>
      </c>
      <c r="K16" s="14" t="s">
        <v>32</v>
      </c>
    </row>
    <row r="17" ht="24" customHeight="1" spans="1:11" x14ac:dyDescent="0.25">
      <c r="A17" s="11">
        <v>14</v>
      </c>
      <c r="B17" s="7" t="s">
        <v>13</v>
      </c>
      <c r="C17" s="7" t="s">
        <v>72</v>
      </c>
      <c r="D17" s="7" t="s">
        <v>73</v>
      </c>
      <c r="E17" s="9">
        <v>26000</v>
      </c>
      <c r="F17" s="9">
        <v>26000</v>
      </c>
      <c r="G17" s="9">
        <f>ROUND((E17+F17)/2,0)</f>
        <v>26000</v>
      </c>
      <c r="H17" s="12" t="s">
        <v>74</v>
      </c>
      <c r="I17" s="9">
        <f>E17</f>
        <v>26000</v>
      </c>
      <c r="J17" s="13" t="s">
        <v>31</v>
      </c>
      <c r="K17" s="14" t="s">
        <v>32</v>
      </c>
    </row>
    <row r="18" ht="24" customHeight="1" spans="1:11" x14ac:dyDescent="0.25">
      <c r="A18" s="11">
        <v>15</v>
      </c>
      <c r="B18" s="7" t="s">
        <v>13</v>
      </c>
      <c r="C18" s="7" t="s">
        <v>75</v>
      </c>
      <c r="D18" s="7" t="s">
        <v>76</v>
      </c>
      <c r="E18" s="15" t="s">
        <v>37</v>
      </c>
      <c r="F18" s="15" t="s">
        <v>37</v>
      </c>
      <c r="G18" s="15" t="s">
        <v>37</v>
      </c>
      <c r="H18" s="12" t="s">
        <v>77</v>
      </c>
      <c r="I18" s="15" t="s">
        <v>37</v>
      </c>
      <c r="J18" s="13" t="s">
        <v>31</v>
      </c>
      <c r="K18" s="14" t="s">
        <v>32</v>
      </c>
    </row>
    <row r="19" ht="24" customHeight="1" spans="1:11" x14ac:dyDescent="0.25">
      <c r="A19" s="11">
        <v>16</v>
      </c>
      <c r="B19" s="7" t="s">
        <v>13</v>
      </c>
      <c r="C19" s="7" t="s">
        <v>78</v>
      </c>
      <c r="D19" s="7" t="s">
        <v>58</v>
      </c>
      <c r="E19" s="15" t="s">
        <v>37</v>
      </c>
      <c r="F19" s="15" t="s">
        <v>37</v>
      </c>
      <c r="G19" s="15" t="s">
        <v>37</v>
      </c>
      <c r="H19" s="12" t="s">
        <v>79</v>
      </c>
      <c r="I19" s="15" t="s">
        <v>37</v>
      </c>
      <c r="J19" s="13" t="s">
        <v>31</v>
      </c>
      <c r="K19" s="14" t="s">
        <v>32</v>
      </c>
    </row>
    <row r="20" ht="24" customHeight="1" spans="1:11" x14ac:dyDescent="0.25">
      <c r="A20" s="11">
        <v>17</v>
      </c>
      <c r="B20" s="7" t="s">
        <v>14</v>
      </c>
      <c r="C20" s="7" t="s">
        <v>80</v>
      </c>
      <c r="D20" s="7" t="s">
        <v>58</v>
      </c>
      <c r="E20" s="9">
        <v>1500</v>
      </c>
      <c r="F20" s="9">
        <v>1500</v>
      </c>
      <c r="G20" s="9">
        <f>ROUND((E20+F20)/2,0)</f>
        <v>1500</v>
      </c>
      <c r="H20" s="12" t="s">
        <v>81</v>
      </c>
      <c r="I20" s="9">
        <f>E20</f>
        <v>1500</v>
      </c>
      <c r="J20" s="13" t="s">
        <v>31</v>
      </c>
      <c r="K20" s="14" t="s">
        <v>32</v>
      </c>
    </row>
    <row r="21" ht="24" customHeight="1" spans="1:11" x14ac:dyDescent="0.25">
      <c r="A21" s="11">
        <v>18</v>
      </c>
      <c r="B21" s="7" t="s">
        <v>14</v>
      </c>
      <c r="C21" s="7" t="s">
        <v>82</v>
      </c>
      <c r="D21" s="7" t="s">
        <v>58</v>
      </c>
      <c r="E21" s="15" t="s">
        <v>37</v>
      </c>
      <c r="F21" s="15" t="s">
        <v>37</v>
      </c>
      <c r="G21" s="15" t="s">
        <v>37</v>
      </c>
      <c r="H21" s="12" t="s">
        <v>83</v>
      </c>
      <c r="I21" s="15" t="s">
        <v>37</v>
      </c>
      <c r="J21" s="13" t="s">
        <v>31</v>
      </c>
      <c r="K21" s="14" t="s">
        <v>32</v>
      </c>
    </row>
    <row r="22" ht="24" customHeight="1" spans="1:11" x14ac:dyDescent="0.25">
      <c r="A22" s="11">
        <v>19</v>
      </c>
      <c r="B22" s="7" t="s">
        <v>14</v>
      </c>
      <c r="C22" s="7" t="s">
        <v>84</v>
      </c>
      <c r="D22" s="7" t="s">
        <v>58</v>
      </c>
      <c r="E22" s="15" t="s">
        <v>37</v>
      </c>
      <c r="F22" s="15" t="s">
        <v>37</v>
      </c>
      <c r="G22" s="15" t="s">
        <v>37</v>
      </c>
      <c r="H22" s="12" t="s">
        <v>85</v>
      </c>
      <c r="I22" s="15" t="s">
        <v>37</v>
      </c>
      <c r="J22" s="13" t="s">
        <v>31</v>
      </c>
      <c r="K22" s="14" t="s">
        <v>32</v>
      </c>
    </row>
    <row r="23" ht="24" customHeight="1" spans="1:11" x14ac:dyDescent="0.25">
      <c r="A23" s="11">
        <v>20</v>
      </c>
      <c r="B23" s="7" t="s">
        <v>14</v>
      </c>
      <c r="C23" s="7" t="s">
        <v>86</v>
      </c>
      <c r="D23" s="7" t="s">
        <v>87</v>
      </c>
      <c r="E23" s="9">
        <v>15000</v>
      </c>
      <c r="F23" s="9">
        <v>15000</v>
      </c>
      <c r="G23" s="9">
        <f>ROUND((E23+F23)/2,0)</f>
        <v>15000</v>
      </c>
      <c r="H23" s="12" t="s">
        <v>88</v>
      </c>
      <c r="I23" s="9">
        <f>E23</f>
        <v>15000</v>
      </c>
      <c r="J23" s="13" t="s">
        <v>31</v>
      </c>
      <c r="K23" s="14" t="s">
        <v>32</v>
      </c>
    </row>
    <row r="24" ht="24" customHeight="1" spans="1:11" x14ac:dyDescent="0.25">
      <c r="A24" s="11">
        <v>21</v>
      </c>
      <c r="B24" s="7" t="s">
        <v>14</v>
      </c>
      <c r="C24" s="7" t="s">
        <v>89</v>
      </c>
      <c r="D24" s="7" t="s">
        <v>87</v>
      </c>
      <c r="E24" s="9">
        <v>7777</v>
      </c>
      <c r="F24" s="9">
        <v>49000</v>
      </c>
      <c r="G24" s="9">
        <f>ROUND((E24+F24)/2,0)</f>
        <v>28389</v>
      </c>
      <c r="H24" s="12" t="s">
        <v>90</v>
      </c>
      <c r="I24" s="9">
        <f>E24</f>
        <v>7777</v>
      </c>
      <c r="J24" s="13" t="s">
        <v>31</v>
      </c>
      <c r="K24" s="14" t="s">
        <v>32</v>
      </c>
    </row>
    <row r="25" ht="24" customHeight="1" spans="1:11" x14ac:dyDescent="0.25">
      <c r="A25" s="11">
        <v>22</v>
      </c>
      <c r="B25" s="7" t="s">
        <v>15</v>
      </c>
      <c r="C25" s="7" t="s">
        <v>91</v>
      </c>
      <c r="D25" s="7" t="s">
        <v>58</v>
      </c>
      <c r="E25" s="15" t="s">
        <v>37</v>
      </c>
      <c r="F25" s="15" t="s">
        <v>37</v>
      </c>
      <c r="G25" s="15" t="s">
        <v>37</v>
      </c>
      <c r="H25" s="12" t="s">
        <v>92</v>
      </c>
      <c r="I25" s="15" t="s">
        <v>37</v>
      </c>
      <c r="J25" s="13" t="s">
        <v>31</v>
      </c>
      <c r="K25" s="14" t="s">
        <v>32</v>
      </c>
    </row>
    <row r="26" ht="24" customHeight="1" spans="1:11" x14ac:dyDescent="0.25">
      <c r="A26" s="11">
        <v>23</v>
      </c>
      <c r="B26" s="7" t="s">
        <v>15</v>
      </c>
      <c r="C26" s="7" t="s">
        <v>93</v>
      </c>
      <c r="D26" s="7" t="s">
        <v>58</v>
      </c>
      <c r="E26" s="15" t="s">
        <v>37</v>
      </c>
      <c r="F26" s="15" t="s">
        <v>37</v>
      </c>
      <c r="G26" s="15" t="s">
        <v>37</v>
      </c>
      <c r="H26" s="12" t="s">
        <v>94</v>
      </c>
      <c r="I26" s="15" t="s">
        <v>37</v>
      </c>
      <c r="J26" s="13" t="s">
        <v>31</v>
      </c>
      <c r="K26" s="14" t="s">
        <v>32</v>
      </c>
    </row>
    <row r="27" ht="24" customHeight="1" spans="1:11" x14ac:dyDescent="0.25">
      <c r="A27" s="11">
        <v>24</v>
      </c>
      <c r="B27" s="7" t="s">
        <v>15</v>
      </c>
      <c r="C27" s="7" t="s">
        <v>95</v>
      </c>
      <c r="D27" s="7" t="s">
        <v>58</v>
      </c>
      <c r="E27" s="15" t="s">
        <v>37</v>
      </c>
      <c r="F27" s="15" t="s">
        <v>37</v>
      </c>
      <c r="G27" s="15" t="s">
        <v>37</v>
      </c>
      <c r="H27" s="12" t="s">
        <v>96</v>
      </c>
      <c r="I27" s="15" t="s">
        <v>37</v>
      </c>
      <c r="J27" s="13" t="s">
        <v>31</v>
      </c>
      <c r="K27" s="14" t="s">
        <v>32</v>
      </c>
    </row>
    <row r="28" ht="24" customHeight="1" spans="1:11" x14ac:dyDescent="0.25">
      <c r="A28" s="11">
        <v>25</v>
      </c>
      <c r="B28" s="7" t="s">
        <v>15</v>
      </c>
      <c r="C28" s="7" t="s">
        <v>97</v>
      </c>
      <c r="D28" s="7" t="s">
        <v>58</v>
      </c>
      <c r="E28" s="15" t="s">
        <v>37</v>
      </c>
      <c r="F28" s="15" t="s">
        <v>37</v>
      </c>
      <c r="G28" s="15" t="s">
        <v>37</v>
      </c>
      <c r="H28" s="12" t="s">
        <v>98</v>
      </c>
      <c r="I28" s="15" t="s">
        <v>37</v>
      </c>
      <c r="J28" s="13" t="s">
        <v>31</v>
      </c>
      <c r="K28" s="14" t="s">
        <v>32</v>
      </c>
    </row>
    <row r="29" ht="24" customHeight="1" spans="1:11" x14ac:dyDescent="0.25">
      <c r="A29" s="11">
        <v>26</v>
      </c>
      <c r="B29" s="7" t="s">
        <v>16</v>
      </c>
      <c r="C29" s="7" t="s">
        <v>99</v>
      </c>
      <c r="D29" s="7" t="s">
        <v>100</v>
      </c>
      <c r="E29" s="9">
        <v>10000</v>
      </c>
      <c r="F29" s="9">
        <v>10000</v>
      </c>
      <c r="G29" s="9">
        <f>ROUND((E29+F29)/2,0)</f>
        <v>10000</v>
      </c>
      <c r="H29" s="12" t="s">
        <v>101</v>
      </c>
      <c r="I29" s="9">
        <f>E29</f>
        <v>10000</v>
      </c>
      <c r="J29" s="13" t="s">
        <v>31</v>
      </c>
      <c r="K29" s="14" t="s">
        <v>32</v>
      </c>
    </row>
    <row r="30" ht="24" customHeight="1" spans="1:11" x14ac:dyDescent="0.25">
      <c r="A30" s="11">
        <v>27</v>
      </c>
      <c r="B30" s="7" t="s">
        <v>16</v>
      </c>
      <c r="C30" s="7" t="s">
        <v>102</v>
      </c>
      <c r="D30" s="7" t="s">
        <v>103</v>
      </c>
      <c r="E30" s="9">
        <v>14736</v>
      </c>
      <c r="F30" s="9">
        <v>14736</v>
      </c>
      <c r="G30" s="9">
        <f>ROUND((E30+F30)/2,0)</f>
        <v>14736</v>
      </c>
      <c r="H30" s="12" t="s">
        <v>104</v>
      </c>
      <c r="I30" s="9">
        <f>E30</f>
        <v>14736</v>
      </c>
      <c r="J30" s="13" t="s">
        <v>31</v>
      </c>
      <c r="K30" s="14" t="s">
        <v>32</v>
      </c>
    </row>
    <row r="31" ht="24" customHeight="1" spans="1:11" x14ac:dyDescent="0.25">
      <c r="A31" s="11">
        <v>28</v>
      </c>
      <c r="B31" s="7" t="s">
        <v>16</v>
      </c>
      <c r="C31" s="7" t="s">
        <v>105</v>
      </c>
      <c r="D31" s="7" t="s">
        <v>106</v>
      </c>
      <c r="E31" s="9">
        <v>8297</v>
      </c>
      <c r="F31" s="9">
        <v>8297</v>
      </c>
      <c r="G31" s="9">
        <f>ROUND((E31+F31)/2,0)</f>
        <v>8297</v>
      </c>
      <c r="H31" s="12" t="s">
        <v>107</v>
      </c>
      <c r="I31" s="9">
        <f>E31</f>
        <v>8297</v>
      </c>
      <c r="J31" s="13" t="s">
        <v>31</v>
      </c>
      <c r="K31" s="14" t="s">
        <v>32</v>
      </c>
    </row>
    <row r="32" ht="24" customHeight="1" spans="1:11" x14ac:dyDescent="0.25">
      <c r="A32" s="11">
        <v>29</v>
      </c>
      <c r="B32" s="7" t="s">
        <v>16</v>
      </c>
      <c r="C32" s="7" t="s">
        <v>108</v>
      </c>
      <c r="D32" s="7" t="s">
        <v>109</v>
      </c>
      <c r="E32" s="15" t="s">
        <v>37</v>
      </c>
      <c r="F32" s="15" t="s">
        <v>37</v>
      </c>
      <c r="G32" s="15" t="s">
        <v>37</v>
      </c>
      <c r="H32" s="12" t="s">
        <v>110</v>
      </c>
      <c r="I32" s="15" t="s">
        <v>37</v>
      </c>
      <c r="J32" s="13" t="s">
        <v>31</v>
      </c>
      <c r="K32" s="14" t="s">
        <v>32</v>
      </c>
    </row>
    <row r="33" ht="24" customHeight="1" spans="1:11" x14ac:dyDescent="0.25">
      <c r="A33" s="11">
        <v>30</v>
      </c>
      <c r="B33" s="7" t="s">
        <v>16</v>
      </c>
      <c r="C33" s="7" t="s">
        <v>111</v>
      </c>
      <c r="D33" s="7" t="s">
        <v>58</v>
      </c>
      <c r="E33" s="15" t="s">
        <v>37</v>
      </c>
      <c r="F33" s="15" t="s">
        <v>37</v>
      </c>
      <c r="G33" s="15" t="s">
        <v>37</v>
      </c>
      <c r="H33" s="12" t="s">
        <v>112</v>
      </c>
      <c r="I33" s="15" t="s">
        <v>37</v>
      </c>
      <c r="J33" s="13" t="s">
        <v>31</v>
      </c>
      <c r="K33" s="14" t="s">
        <v>32</v>
      </c>
    </row>
    <row r="34" ht="24" customHeight="1" spans="1:11" x14ac:dyDescent="0.25">
      <c r="A34" s="11">
        <v>31</v>
      </c>
      <c r="B34" s="7" t="s">
        <v>16</v>
      </c>
      <c r="C34" s="7" t="s">
        <v>113</v>
      </c>
      <c r="D34" s="7" t="s">
        <v>58</v>
      </c>
      <c r="E34" s="15" t="s">
        <v>37</v>
      </c>
      <c r="F34" s="15" t="s">
        <v>37</v>
      </c>
      <c r="G34" s="15" t="s">
        <v>37</v>
      </c>
      <c r="H34" s="12" t="s">
        <v>114</v>
      </c>
      <c r="I34" s="15" t="s">
        <v>37</v>
      </c>
      <c r="J34" s="13" t="s">
        <v>31</v>
      </c>
      <c r="K34" s="14" t="s">
        <v>32</v>
      </c>
    </row>
    <row r="35" ht="24" customHeight="1" spans="1:11" x14ac:dyDescent="0.25">
      <c r="A35" s="11">
        <v>32</v>
      </c>
      <c r="B35" s="7" t="s">
        <v>16</v>
      </c>
      <c r="C35" s="7" t="s">
        <v>115</v>
      </c>
      <c r="D35" s="7" t="s">
        <v>58</v>
      </c>
      <c r="E35" s="9">
        <v>17800</v>
      </c>
      <c r="F35" s="9">
        <v>17800</v>
      </c>
      <c r="G35" s="9">
        <f>ROUND((E35+F35)/2,0)</f>
        <v>17800</v>
      </c>
      <c r="H35" s="12" t="s">
        <v>116</v>
      </c>
      <c r="I35" s="9">
        <f>E35</f>
        <v>17800</v>
      </c>
      <c r="J35" s="13" t="s">
        <v>31</v>
      </c>
      <c r="K35" s="14" t="s">
        <v>32</v>
      </c>
    </row>
    <row r="36" ht="24" customHeight="1" spans="1:11" x14ac:dyDescent="0.25">
      <c r="A36" s="11">
        <v>33</v>
      </c>
      <c r="B36" s="7" t="s">
        <v>16</v>
      </c>
      <c r="C36" s="7" t="s">
        <v>117</v>
      </c>
      <c r="D36" s="7" t="s">
        <v>58</v>
      </c>
      <c r="E36" s="15" t="s">
        <v>37</v>
      </c>
      <c r="F36" s="15" t="s">
        <v>37</v>
      </c>
      <c r="G36" s="15" t="s">
        <v>37</v>
      </c>
      <c r="H36" s="12" t="s">
        <v>118</v>
      </c>
      <c r="I36" s="15" t="s">
        <v>37</v>
      </c>
      <c r="J36" s="13" t="s">
        <v>31</v>
      </c>
      <c r="K36" s="14" t="s">
        <v>32</v>
      </c>
    </row>
    <row r="37" ht="24" customHeight="1" spans="1:11" x14ac:dyDescent="0.25">
      <c r="A37" s="11">
        <v>34</v>
      </c>
      <c r="B37" s="7" t="s">
        <v>16</v>
      </c>
      <c r="C37" s="7" t="s">
        <v>119</v>
      </c>
      <c r="D37" s="7" t="s">
        <v>120</v>
      </c>
      <c r="E37" s="15" t="s">
        <v>37</v>
      </c>
      <c r="F37" s="15" t="s">
        <v>37</v>
      </c>
      <c r="G37" s="15" t="s">
        <v>37</v>
      </c>
      <c r="H37" s="12" t="s">
        <v>121</v>
      </c>
      <c r="I37" s="15" t="s">
        <v>37</v>
      </c>
      <c r="J37" s="13" t="s">
        <v>31</v>
      </c>
      <c r="K37" s="14" t="s">
        <v>32</v>
      </c>
    </row>
    <row r="38" ht="24" customHeight="1" spans="1:11" x14ac:dyDescent="0.25">
      <c r="A38" s="11">
        <v>35</v>
      </c>
      <c r="B38" s="7" t="s">
        <v>17</v>
      </c>
      <c r="C38" s="7" t="s">
        <v>122</v>
      </c>
      <c r="D38" s="7" t="s">
        <v>123</v>
      </c>
      <c r="E38" s="15" t="s">
        <v>37</v>
      </c>
      <c r="F38" s="15" t="s">
        <v>37</v>
      </c>
      <c r="G38" s="15" t="s">
        <v>37</v>
      </c>
      <c r="H38" s="12" t="s">
        <v>124</v>
      </c>
      <c r="I38" s="15" t="s">
        <v>37</v>
      </c>
      <c r="J38" s="13" t="s">
        <v>31</v>
      </c>
      <c r="K38" s="14" t="s">
        <v>32</v>
      </c>
    </row>
    <row r="39" ht="24" customHeight="1" spans="1:11" x14ac:dyDescent="0.25">
      <c r="A39" s="11">
        <v>36</v>
      </c>
      <c r="B39" s="7" t="s">
        <v>17</v>
      </c>
      <c r="C39" s="7" t="s">
        <v>125</v>
      </c>
      <c r="D39" s="7" t="s">
        <v>126</v>
      </c>
      <c r="E39" s="9">
        <v>5555</v>
      </c>
      <c r="F39" s="9">
        <v>5555</v>
      </c>
      <c r="G39" s="9">
        <f>ROUND((E39+F39)/2,0)</f>
        <v>5555</v>
      </c>
      <c r="H39" s="12" t="s">
        <v>127</v>
      </c>
      <c r="I39" s="9">
        <f>E39</f>
        <v>5555</v>
      </c>
      <c r="J39" s="13" t="s">
        <v>31</v>
      </c>
      <c r="K39" s="14" t="s">
        <v>32</v>
      </c>
    </row>
    <row r="40" ht="24" customHeight="1" spans="1:11" x14ac:dyDescent="0.25">
      <c r="A40" s="11">
        <v>37</v>
      </c>
      <c r="B40" s="7" t="s">
        <v>17</v>
      </c>
      <c r="C40" s="7" t="s">
        <v>128</v>
      </c>
      <c r="D40" s="7" t="s">
        <v>129</v>
      </c>
      <c r="E40" s="9">
        <v>15000</v>
      </c>
      <c r="F40" s="9">
        <v>15000</v>
      </c>
      <c r="G40" s="9">
        <f>ROUND((E40+F40)/2,0)</f>
        <v>15000</v>
      </c>
      <c r="H40" s="12" t="s">
        <v>130</v>
      </c>
      <c r="I40" s="9">
        <f>E40</f>
        <v>15000</v>
      </c>
      <c r="J40" s="13" t="s">
        <v>31</v>
      </c>
      <c r="K40" s="14" t="s">
        <v>32</v>
      </c>
    </row>
    <row r="41" ht="24" customHeight="1" spans="1:11" x14ac:dyDescent="0.25">
      <c r="A41" s="11">
        <v>38</v>
      </c>
      <c r="B41" s="7" t="s">
        <v>17</v>
      </c>
      <c r="C41" s="7" t="s">
        <v>131</v>
      </c>
      <c r="D41" s="7" t="s">
        <v>58</v>
      </c>
      <c r="E41" s="15" t="s">
        <v>37</v>
      </c>
      <c r="F41" s="15" t="s">
        <v>37</v>
      </c>
      <c r="G41" s="15" t="s">
        <v>37</v>
      </c>
      <c r="H41" s="12" t="s">
        <v>132</v>
      </c>
      <c r="I41" s="15" t="s">
        <v>37</v>
      </c>
      <c r="J41" s="13" t="s">
        <v>31</v>
      </c>
      <c r="K41" s="14" t="s">
        <v>32</v>
      </c>
    </row>
    <row r="42" ht="24" customHeight="1" spans="1:11" x14ac:dyDescent="0.25">
      <c r="A42" s="11">
        <v>39</v>
      </c>
      <c r="B42" s="7" t="s">
        <v>17</v>
      </c>
      <c r="C42" s="7" t="s">
        <v>133</v>
      </c>
      <c r="D42" s="7" t="s">
        <v>58</v>
      </c>
      <c r="E42" s="15" t="s">
        <v>37</v>
      </c>
      <c r="F42" s="15" t="s">
        <v>37</v>
      </c>
      <c r="G42" s="15" t="s">
        <v>37</v>
      </c>
      <c r="H42" s="12" t="s">
        <v>134</v>
      </c>
      <c r="I42" s="15" t="s">
        <v>37</v>
      </c>
      <c r="J42" s="13" t="s">
        <v>31</v>
      </c>
      <c r="K42" s="14" t="s">
        <v>32</v>
      </c>
    </row>
    <row r="43" ht="24" customHeight="1" spans="1:11" x14ac:dyDescent="0.25">
      <c r="A43" s="11">
        <v>40</v>
      </c>
      <c r="B43" s="7" t="s">
        <v>18</v>
      </c>
      <c r="C43" s="7" t="s">
        <v>135</v>
      </c>
      <c r="D43" s="7" t="s">
        <v>58</v>
      </c>
      <c r="E43" s="9">
        <v>29000</v>
      </c>
      <c r="F43" s="9">
        <v>29000</v>
      </c>
      <c r="G43" s="9">
        <f>ROUND((E43+F43)/2,0)</f>
        <v>29000</v>
      </c>
      <c r="H43" s="12" t="s">
        <v>136</v>
      </c>
      <c r="I43" s="9">
        <f>E43</f>
        <v>29000</v>
      </c>
      <c r="J43" s="13" t="s">
        <v>31</v>
      </c>
      <c r="K43" s="14" t="s">
        <v>32</v>
      </c>
    </row>
    <row r="44" ht="24" customHeight="1" spans="1:11" x14ac:dyDescent="0.25">
      <c r="A44" s="11">
        <v>41</v>
      </c>
      <c r="B44" s="7" t="s">
        <v>18</v>
      </c>
      <c r="C44" s="7" t="s">
        <v>137</v>
      </c>
      <c r="D44" s="7" t="s">
        <v>58</v>
      </c>
      <c r="E44" s="15" t="s">
        <v>37</v>
      </c>
      <c r="F44" s="15" t="s">
        <v>37</v>
      </c>
      <c r="G44" s="15" t="s">
        <v>37</v>
      </c>
      <c r="H44" s="12" t="s">
        <v>138</v>
      </c>
      <c r="I44" s="15" t="s">
        <v>37</v>
      </c>
      <c r="J44" s="13" t="s">
        <v>31</v>
      </c>
      <c r="K44" s="14" t="s">
        <v>32</v>
      </c>
    </row>
    <row r="45" ht="24" customHeight="1" spans="1:11" x14ac:dyDescent="0.25">
      <c r="A45" s="11">
        <v>42</v>
      </c>
      <c r="B45" s="7" t="s">
        <v>18</v>
      </c>
      <c r="C45" s="7" t="s">
        <v>139</v>
      </c>
      <c r="D45" s="7" t="s">
        <v>140</v>
      </c>
      <c r="E45" s="15" t="s">
        <v>37</v>
      </c>
      <c r="F45" s="15" t="s">
        <v>37</v>
      </c>
      <c r="G45" s="15" t="s">
        <v>37</v>
      </c>
      <c r="H45" s="12" t="s">
        <v>141</v>
      </c>
      <c r="I45" s="15" t="s">
        <v>37</v>
      </c>
      <c r="J45" s="13" t="s">
        <v>31</v>
      </c>
      <c r="K45" s="14" t="s">
        <v>32</v>
      </c>
    </row>
    <row r="46" ht="24" customHeight="1" spans="1:11" x14ac:dyDescent="0.25">
      <c r="A46" s="11">
        <v>43</v>
      </c>
      <c r="B46" s="7" t="s">
        <v>18</v>
      </c>
      <c r="C46" s="7" t="s">
        <v>142</v>
      </c>
      <c r="D46" s="7" t="s">
        <v>58</v>
      </c>
      <c r="E46" s="9">
        <v>2000</v>
      </c>
      <c r="F46" s="9">
        <v>2000</v>
      </c>
      <c r="G46" s="9">
        <f>ROUND((E46+F46)/2,0)</f>
        <v>2000</v>
      </c>
      <c r="H46" s="12" t="s">
        <v>143</v>
      </c>
      <c r="I46" s="9">
        <f>E46</f>
        <v>2000</v>
      </c>
      <c r="J46" s="13" t="s">
        <v>31</v>
      </c>
      <c r="K46" s="14" t="s">
        <v>32</v>
      </c>
    </row>
    <row r="47" ht="24" customHeight="1" spans="1:11" x14ac:dyDescent="0.25">
      <c r="A47" s="11">
        <v>44</v>
      </c>
      <c r="B47" s="7" t="s">
        <v>18</v>
      </c>
      <c r="C47" s="7" t="s">
        <v>144</v>
      </c>
      <c r="D47" s="7" t="s">
        <v>58</v>
      </c>
      <c r="E47" s="15" t="s">
        <v>37</v>
      </c>
      <c r="F47" s="15" t="s">
        <v>37</v>
      </c>
      <c r="G47" s="15" t="s">
        <v>37</v>
      </c>
      <c r="H47" s="12" t="s">
        <v>134</v>
      </c>
      <c r="I47" s="15" t="s">
        <v>37</v>
      </c>
      <c r="J47" s="13" t="s">
        <v>31</v>
      </c>
      <c r="K47" s="14" t="s">
        <v>32</v>
      </c>
    </row>
  </sheetData>
  <autoFilter ref="A3:K47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  <hyperlink ref="J40" r:id="rId73"/>
    <hyperlink ref="K40" r:id="rId74"/>
    <hyperlink ref="J41" r:id="rId75"/>
    <hyperlink ref="K41" r:id="rId76"/>
    <hyperlink ref="J42" r:id="rId77"/>
    <hyperlink ref="K42" r:id="rId78"/>
    <hyperlink ref="J43" r:id="rId79"/>
    <hyperlink ref="K43" r:id="rId80"/>
    <hyperlink ref="J44" r:id="rId81"/>
    <hyperlink ref="K44" r:id="rId82"/>
    <hyperlink ref="J45" r:id="rId83"/>
    <hyperlink ref="K45" r:id="rId84"/>
    <hyperlink ref="J46" r:id="rId85"/>
    <hyperlink ref="K46" r:id="rId86"/>
    <hyperlink ref="J47" r:id="rId87"/>
    <hyperlink ref="K47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145</v>
      </c>
      <c r="B1" s="1"/>
      <c r="C1" s="1"/>
      <c r="D1" s="1"/>
    </row>
    <row r="2" ht="32" customHeight="1" spans="1:4" x14ac:dyDescent="0.25">
      <c r="A2" s="2" t="s">
        <v>146</v>
      </c>
      <c r="B2" s="2"/>
      <c r="C2" s="2"/>
      <c r="D2" s="2"/>
    </row>
    <row r="3" spans="1:4" x14ac:dyDescent="0.25">
      <c r="A3" s="6" t="s">
        <v>147</v>
      </c>
      <c r="B3" s="6" t="s">
        <v>148</v>
      </c>
      <c r="C3" s="6" t="s">
        <v>149</v>
      </c>
      <c r="D3" s="6" t="s">
        <v>29</v>
      </c>
    </row>
    <row r="4" spans="1:4" x14ac:dyDescent="0.25">
      <c r="A4" s="7" t="s">
        <v>150</v>
      </c>
      <c r="B4" s="12" t="s">
        <v>151</v>
      </c>
      <c r="C4" s="7" t="s">
        <v>152</v>
      </c>
      <c r="D4" s="7" t="s">
        <v>153</v>
      </c>
    </row>
    <row r="5" spans="1:4" x14ac:dyDescent="0.25">
      <c r="A5" s="7" t="s">
        <v>154</v>
      </c>
      <c r="B5" s="12" t="s">
        <v>155</v>
      </c>
      <c r="C5" s="7" t="s">
        <v>156</v>
      </c>
      <c r="D5" s="7" t="s">
        <v>157</v>
      </c>
    </row>
    <row r="6" spans="1:4" x14ac:dyDescent="0.25">
      <c r="A6" s="7" t="s">
        <v>158</v>
      </c>
      <c r="B6" s="12" t="s">
        <v>159</v>
      </c>
      <c r="C6" s="7" t="s">
        <v>160</v>
      </c>
      <c r="D6" s="7" t="s">
        <v>161</v>
      </c>
    </row>
    <row r="7" spans="1:4" x14ac:dyDescent="0.25">
      <c r="A7" s="7" t="s">
        <v>162</v>
      </c>
      <c r="B7" s="12" t="s">
        <v>163</v>
      </c>
      <c r="C7" s="7" t="s">
        <v>164</v>
      </c>
      <c r="D7" s="7" t="s">
        <v>165</v>
      </c>
    </row>
    <row r="8" spans="1:4" x14ac:dyDescent="0.25">
      <c r="A8" s="7" t="s">
        <v>166</v>
      </c>
      <c r="B8" s="12" t="s">
        <v>167</v>
      </c>
      <c r="C8" s="7" t="s">
        <v>164</v>
      </c>
      <c r="D8" s="7" t="s">
        <v>168</v>
      </c>
    </row>
    <row r="9" spans="1:4" x14ac:dyDescent="0.25">
      <c r="A9" s="7" t="s">
        <v>169</v>
      </c>
      <c r="B9" s="12" t="s">
        <v>170</v>
      </c>
      <c r="C9" s="7" t="s">
        <v>171</v>
      </c>
      <c r="D9" s="7" t="s">
        <v>172</v>
      </c>
    </row>
    <row r="10" spans="1:4" x14ac:dyDescent="0.25">
      <c r="A10" s="7" t="s">
        <v>173</v>
      </c>
      <c r="B10" s="12" t="s">
        <v>174</v>
      </c>
      <c r="C10" s="7" t="s">
        <v>175</v>
      </c>
      <c r="D10" s="7" t="s">
        <v>176</v>
      </c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2026-09-25T15:19:57Z</dcterms:created>
  <dcterms:modified xsi:type="dcterms:W3CDTF">2026-09-25T15:19:57Z</dcterms:modified>
</cp:coreProperties>
</file>