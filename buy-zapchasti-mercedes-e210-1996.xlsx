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  <sheet sheetId="4" name="О прайсе" state="visible" r:id="rId7"/>
  </sheets>
  <calcPr calcId="171027"/>
</workbook>
</file>

<file path=xl/sharedStrings.xml><?xml version="1.0" encoding="utf-8"?>
<sst xmlns="http://schemas.openxmlformats.org/spreadsheetml/2006/main" count="509" uniqueCount="232">
  <si>
    <t>Сводка по бу-запчастям Mercedes E200 (W210) 2.0, 1996</t>
  </si>
  <si>
    <t>Считается автоматически с листа «Прайс». Цены — диапазоны объявлений 2025–2026 гг., вся Россия.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</si>
  <si>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</si>
  <si>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</si>
  <si>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</si>
  <si>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</si>
  <si>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</si>
  <si>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</si>
  <si>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</si>
  <si>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</si>
  <si>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</si>
  <si>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</si>
  <si>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</si>
  <si>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</si>
  <si>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</si>
  <si>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</si>
  <si>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</si>
  <si>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</si>
  <si>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</si>
  <si>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</si>
  <si>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 по всей России; итог зависит от состояния, комплектации и региона.</t>
  </si>
  <si>
    <t>• «—» в колонке цены означает, что сформированного бу-рынка по детали нет (расходник — покупается новым).</t>
  </si>
  <si>
    <t>• Артикулы приведены как ориентир для поиска; для 1996 года актуален дорестайловый кузов.</t>
  </si>
  <si>
    <t>БУ-запчасти Mercedes-Benz E200 (W210) 2.0, 1996 г.</t>
  </si>
  <si>
    <t>Актуальные цены российского рынка (Avito, Drom, разборки, контрактные магазины), сентябрь 2026. БУ = б/у, контрактные, снятые с авто. «Нет бу-рынка» — деталь обычно покупается новой.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</si>
  <si>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</si>
  <si>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</si>
  <si>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</si>
  <si>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</si>
  <si>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</si>
  <si>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</si>
  <si>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Двигатель в сборе (контрактный)</t>
  </si>
  <si>
    <t>M111.960</t>
  </si>
  <si>
    <t>Без навесного от 27-50 тыс., с гарантией от разборок до 140-150 тыс.</t>
  </si>
  <si>
    <t>ГБЦ в сборе (головка блока)</t>
  </si>
  <si>
    <t>M111</t>
  </si>
  <si>
    <t>Унифицирована по серии M111</t>
  </si>
  <si>
    <t>Прокладка ГБЦ</t>
  </si>
  <si>
    <t/>
  </si>
  <si>
    <t>—</t>
  </si>
  <si>
    <t>Бу-предложений нет: одноразовая, покупается новой (2-4 тыс.)</t>
  </si>
  <si>
    <t>Блок цилиндров (короткий блок)</t>
  </si>
  <si>
    <t>Обычно в сборе с ГБЦ</t>
  </si>
  <si>
    <t>Поддон двигателя (картер)</t>
  </si>
  <si>
    <t>Клапанная крышка</t>
  </si>
  <si>
    <t>Форсунка (1 шт)</t>
  </si>
  <si>
    <t>A0000787249</t>
  </si>
  <si>
    <t>Комплект форсунок (4 шт)</t>
  </si>
  <si>
    <t>Топливная рампа</t>
  </si>
  <si>
    <t>С форсунками - 4-6 тыс.</t>
  </si>
  <si>
    <t>Топливный насос</t>
  </si>
  <si>
    <t>Оригинал бу</t>
  </si>
  <si>
    <t>Датчик расхода воздуха (MAF)</t>
  </si>
  <si>
    <t>Датчики (распредвал/коленвал/температуры)</t>
  </si>
  <si>
    <t>Цена за 1 шт</t>
  </si>
  <si>
    <t>Дроссельная заслонка</t>
  </si>
  <si>
    <t>Впускной коллектор</t>
  </si>
  <si>
    <t>В сборе - до 7 тыс.</t>
  </si>
  <si>
    <t>Водяной насос (помпа)</t>
  </si>
  <si>
    <t>A1112004201</t>
  </si>
  <si>
    <t>Чаще покупают новой (ориг. 4-7 тыс.)</t>
  </si>
  <si>
    <t>Термостат в сборе</t>
  </si>
  <si>
    <t>A1112030375</t>
  </si>
  <si>
    <t>Обычно меняется новым</t>
  </si>
  <si>
    <t>Радиатор охлаждения</t>
  </si>
  <si>
    <t>Вентилятор охлаждения (с кожухом)</t>
  </si>
  <si>
    <t>Патрубки/шланги охлаждения (комплект)</t>
  </si>
  <si>
    <t>Катушка зажигания (1 шт)</t>
  </si>
  <si>
    <t>Катушки зажигания (комплект 4 шт)</t>
  </si>
  <si>
    <t>Сдвоенные, 2 шт на 4 свечи</t>
  </si>
  <si>
    <t>Цепь ГРМ / натяжитель (бу)</t>
  </si>
  <si>
    <t>Редкое предложение; новый комплект 5-12 тыс.</t>
  </si>
  <si>
    <t>Генератор</t>
  </si>
  <si>
    <t>A0101543202</t>
  </si>
  <si>
    <t>Восстановленный с гарантией 6-10 тыс.</t>
  </si>
  <si>
    <t>Стартер</t>
  </si>
  <si>
    <t>Восстановленный с гарантией 4,5-7 тыс.</t>
  </si>
  <si>
    <t>Компрессор кондиционера</t>
  </si>
  <si>
    <t>Denso</t>
  </si>
  <si>
    <t>Новый - от 12 тыс.</t>
  </si>
  <si>
    <t>Катализатор (небитый, снятый)</t>
  </si>
  <si>
    <t>Зависит от содержания драгметаллов</t>
  </si>
  <si>
    <t>Выпускной коллектор</t>
  </si>
  <si>
    <t>По отзывам до 20-25 тыс.</t>
  </si>
  <si>
    <t>Глушитель в сборе / резонатор</t>
  </si>
  <si>
    <t>Масляный насос</t>
  </si>
  <si>
    <t>Радиатор отопителя (печки)</t>
  </si>
  <si>
    <t>BEHR</t>
  </si>
  <si>
    <t>АКПП 722.6 (бу)</t>
  </si>
  <si>
    <t>722.6</t>
  </si>
  <si>
    <t>На Авито бу 10-20 тыс., контрактная с гарантией ~57,7 тыс.</t>
  </si>
  <si>
    <t>МКПП</t>
  </si>
  <si>
    <t>717.460</t>
  </si>
  <si>
    <t>4-ст, подходит W124/W202/W210</t>
  </si>
  <si>
    <t>Гидротрансформатор</t>
  </si>
  <si>
    <t>Бу-объявления редки, цены по запросу; ремонт ~15-20 тыс.</t>
  </si>
  <si>
    <t>Карданный вал</t>
  </si>
  <si>
    <t>Полуоси (приводы)</t>
  </si>
  <si>
    <t>Цены по запросу разборок, не публикуются</t>
  </si>
  <si>
    <t>ШРУС</t>
  </si>
  <si>
    <t>Бу-рынка почти нет; новый аналог 2-3,5 тыс.</t>
  </si>
  <si>
    <t>Редуктор заднего моста</t>
  </si>
  <si>
    <t>Рычаг передний нижний</t>
  </si>
  <si>
    <t>Новый аналог ~3,9 тыс.</t>
  </si>
  <si>
    <t>Сайлентблоки рычагов</t>
  </si>
  <si>
    <t>Бу-рынка нет - расходник, покупается новым</t>
  </si>
  <si>
    <t>Шаровая опора</t>
  </si>
  <si>
    <t>Бу-рынка нет</t>
  </si>
  <si>
    <t>Амортизатор передний</t>
  </si>
  <si>
    <t>A2103203330</t>
  </si>
  <si>
    <t>По Avito ~4,4 тыс.</t>
  </si>
  <si>
    <t>Амортизатор задний</t>
  </si>
  <si>
    <t>Цены по запросу разборок</t>
  </si>
  <si>
    <t>Пружины подвески</t>
  </si>
  <si>
    <t>Стойки стабилизатора</t>
  </si>
  <si>
    <t>Бу-рынка нет - расходник</t>
  </si>
  <si>
    <t>Подшипник ступицы</t>
  </si>
  <si>
    <t>Рулевая рейка (контракт/восст.)</t>
  </si>
  <si>
    <t>A2104602400</t>
  </si>
  <si>
    <t>Контрактная ~26 тыс.</t>
  </si>
  <si>
    <t>Насос ГУР</t>
  </si>
  <si>
    <t>Рулевые тяги и наконечники</t>
  </si>
  <si>
    <t>Передний подрамник</t>
  </si>
  <si>
    <t>Балка задней подвески</t>
  </si>
  <si>
    <t>Суппорт передний (бу/восст.)</t>
  </si>
  <si>
    <t>Суппорт задний (бу/восст.)</t>
  </si>
  <si>
    <t>Тормозные диски</t>
  </si>
  <si>
    <t>Бу-рынка нет, покупаются новыми</t>
  </si>
  <si>
    <t>Вакуумный усилитель тормозов</t>
  </si>
  <si>
    <t>Главный тормозной цилиндр</t>
  </si>
  <si>
    <t>Блок ABS</t>
  </si>
  <si>
    <t>От 700 руб за бу</t>
  </si>
  <si>
    <t>Фара передняя (дорестайл)</t>
  </si>
  <si>
    <t>1995-1999</t>
  </si>
  <si>
    <t>Фара передняя (рестайлинг, ксенон)</t>
  </si>
  <si>
    <t>2000-2002</t>
  </si>
  <si>
    <t>Задний фонарь (комплект)</t>
  </si>
  <si>
    <t>Поштучно 0,5-1,5 тыс.</t>
  </si>
  <si>
    <t>Капот</t>
  </si>
  <si>
    <t>Крыло переднее (1 шт)</t>
  </si>
  <si>
    <t>Бампер передний</t>
  </si>
  <si>
    <t>С дефектами от 3 тыс.</t>
  </si>
  <si>
    <t>Бампер задний</t>
  </si>
  <si>
    <t>Дверь передняя</t>
  </si>
  <si>
    <t>С остеклением до 25 тыс.</t>
  </si>
  <si>
    <t>Дверь задняя</t>
  </si>
  <si>
    <t>Лобовое стекло (снятое)</t>
  </si>
  <si>
    <t>Зеркало боковое (электропривод)</t>
  </si>
  <si>
    <t>Решётка радиатора</t>
  </si>
  <si>
    <t>Крышка багажника</t>
  </si>
  <si>
    <t>Молдинги хром (комплект)</t>
  </si>
  <si>
    <t>Порог / ремонтная арка</t>
  </si>
  <si>
    <t>Блок управления двигателем (ECU/ME)</t>
  </si>
  <si>
    <t>ME2.0/2.1</t>
  </si>
  <si>
    <t>С замком и ключом до 10 тыс.</t>
  </si>
  <si>
    <t>Блок ETC (селектор АКПП)</t>
  </si>
  <si>
    <t>Блок комфорта / освещения</t>
  </si>
  <si>
    <t>Моторчик стеклоподъёмника</t>
  </si>
  <si>
    <t>Мотор отопителя (печки)</t>
  </si>
  <si>
    <t>A2108202442</t>
  </si>
  <si>
    <t>Трапеция стеклоочистителя с мотором</t>
  </si>
  <si>
    <t>Замок двери с актуатором</t>
  </si>
  <si>
    <t>Актуатор ЦЗ отдельно 0,5-1,5 тыс.</t>
  </si>
  <si>
    <t>Замок зажигания</t>
  </si>
  <si>
    <t>С иммобилайзером 3-5 тыс.</t>
  </si>
  <si>
    <t>Датчик парковки (PDC)</t>
  </si>
  <si>
    <t>Панель приборов (комбинация)</t>
  </si>
  <si>
    <t>Жгут проводки</t>
  </si>
  <si>
    <t>Моторный отсек 3-7 тыс., полный 8-15 тыс.</t>
  </si>
  <si>
    <t>Стеклоподъёмник в сборе</t>
  </si>
  <si>
    <t>Сиденье переднее (механика)</t>
  </si>
  <si>
    <t>Сиденье переднее (электро/память)</t>
  </si>
  <si>
    <t>Кожаный комплект 20-35 тыс.</t>
  </si>
  <si>
    <t>Задний диван</t>
  </si>
  <si>
    <t>Ткань 4-8 тыс., кожа 8-15 тыс.</t>
  </si>
  <si>
    <t>Подушка безопасности (airbag)</t>
  </si>
  <si>
    <t>Блок SRS 2-5 тыс.</t>
  </si>
  <si>
    <t>Руль (с подушкой)</t>
  </si>
  <si>
    <t>Обшивка торпедо (приборной панели)</t>
  </si>
  <si>
    <t>С трещинами от 3 тыс.</t>
  </si>
  <si>
    <t>Дверные карты (комплект 4 шт)</t>
  </si>
  <si>
    <t>Поштучно 2-4 тыс.</t>
  </si>
  <si>
    <t>Коврики (комплект)</t>
  </si>
  <si>
    <t>Обивка крыши (потолок)</t>
  </si>
  <si>
    <t>Шумоизоляция капота</t>
  </si>
  <si>
    <t>A2106823728</t>
  </si>
  <si>
    <t>Источники и площадки поиска</t>
  </si>
  <si>
    <t>Цены собраны из публичных объявлений 2025–2026 гг.; площадки, где проверялся каждый раздел.</t>
  </si>
  <si>
    <t>Площадка</t>
  </si>
  <si>
    <t>Что искать</t>
  </si>
  <si>
    <t>Тип</t>
  </si>
  <si>
    <t>Avito</t>
  </si>
  <si>
    <t>Любые бу-запчасти W210</t>
  </si>
  <si>
    <t>Доска объявлений</t>
  </si>
  <si>
    <t>Основной источник цен; регион — вся Россия</t>
  </si>
  <si>
    <t>Drom.ru / База Drom</t>
  </si>
  <si>
    <t>Двигатель, ГБЦ, форсунки, фара, панель приборов</t>
  </si>
  <si>
    <t>База объявлений</t>
  </si>
  <si>
    <t>Много позиций по E-Class W210 2.0</t>
  </si>
  <si>
    <t>Auto.ru</t>
  </si>
  <si>
    <t>Запчасти по каталогу</t>
  </si>
  <si>
    <t>Каталог по VIN и модели</t>
  </si>
  <si>
    <t>iZAP24</t>
  </si>
  <si>
    <t>Контрактные детали из Европы</t>
  </si>
  <si>
    <t>Разборка</t>
  </si>
  <si>
    <t>Бамперы, щиток приборов, мотор печки, генератор</t>
  </si>
  <si>
    <t>autopriwos.ru</t>
  </si>
  <si>
    <t>Кузовщина, АКПП, редуктор, ABS</t>
  </si>
  <si>
    <t>293 тыс. деталей W210, доставка по РФ</t>
  </si>
  <si>
    <t>razborka-mercedes.com / razborin.ru</t>
  </si>
  <si>
    <t>Двигатель, кузовные элементы</t>
  </si>
  <si>
    <t>Специализированная разборка</t>
  </si>
  <si>
    <t>Только Mercedes</t>
  </si>
  <si>
    <t>motorlandby.ru</t>
  </si>
  <si>
    <t>Рулевая рейка</t>
  </si>
  <si>
    <t>Контрактные детали, доставка по РФ</t>
  </si>
  <si>
    <t>Яндекс.Маркет (б/у)</t>
  </si>
  <si>
    <t>Мелкая электрика, оптика</t>
  </si>
  <si>
    <t>Агрегатор</t>
  </si>
  <si>
    <t>Раздел б/у запчастей</t>
  </si>
  <si>
    <t>Магазины контрактных АКПП (avtgr.ru)</t>
  </si>
  <si>
    <t>АКПП 722.6 с гарантией</t>
  </si>
  <si>
    <t>Контракт</t>
  </si>
  <si>
    <t>~57,7 тыс. руб под заказ</t>
  </si>
  <si>
    <t>ExcelPrice — цены на любые запчасти</t>
  </si>
  <si>
    <t>Полные прайс-листы по моделям авто: все запчасти + актуальные цены со всего интернета</t>
  </si>
  <si>
    <t>Заказать свой прайс: https://excelprice.ru</t>
  </si>
  <si>
    <t>Контакты:</t>
  </si>
  <si>
    <t>Telegram: @Excelprice</t>
  </si>
  <si>
    <t>WhatsApp: +7 (900) 000-44-69</t>
  </si>
  <si>
    <t>Email: dot.akc@yandex.ru</t>
  </si>
  <si>
    <t>Если этот файл вам прислали — вы можете заказать такой же прайс на свою модель на сайте excelprice.ru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</si>
</sst>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b/>
      <sz val="18"/>
      <color rgb="FF2F5597"/>
      <name val="Calibri"/>
    </font>
    <font>
      <sz val="11"/>
      <color rgb="FF667085"/>
      <name val="Calibri"/>
    </font>
    <font>
      <b/>
      <u/>
      <sz val="13"/>
      <color rgb="FF2A7F77"/>
      <name val="Calibri"/>
    </font>
    <font>
      <sz val="11"/>
      <color rgb="FF1F2A37"/>
      <name val="Calibri"/>
    </font>
    <font>
      <i/>
      <sz val="10"/>
      <color rgb="FF66708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celprice.ru" TargetMode="External"/><Relationship Id="rId2" Type="http://schemas.openxmlformats.org/officeDocument/2006/relationships/hyperlink" Target="https://t.me/Excelprice" TargetMode="External"/><Relationship Id="rId3" Type="http://schemas.openxmlformats.org/officeDocument/2006/relationships/hyperlink" Target="https://wa.me/79000004469" TargetMode="External"/><Relationship Id="rId4" Type="http://schemas.openxmlformats.org/officeDocument/2006/relationships/hyperlink" Target="mailto:dot.akc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 zoomScale="100" zoomScaleNormal="10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COUNTA('Прайс'!$C$4:$C$96)</f>
        <v>93</v>
      </c>
      <c r="C4" s="4">
        <f>COUNTA('Дашборд'!$B$9:$B$15)</f>
        <v>7</v>
      </c>
      <c r="E4" s="4">
        <f>COUNT('Прайс'!$E$4:$E$96)</f>
        <v>75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COUNTIF('Прайс'!$B$4:$B$96,A10)</f>
        <v>30</v>
      </c>
      <c r="C10" s="9">
        <f>AVERAGEIF('Прайс'!$B$4:$B$96,A10,'Прайс'!$E$4:$E$96)</f>
        <v>3200</v>
      </c>
      <c r="D10" s="9">
        <f>AVERAGEIF('Прайс'!$B$4:$B$96,A10,'Прайс'!$F$4:$F$96)</f>
        <v>10586</v>
      </c>
      <c r="E10" s="9">
        <f>ROUND((C10+D10)/2,0)</f>
        <v>6893</v>
      </c>
      <c r="F10" s="9">
        <f>D10-C10</f>
        <v>7386</v>
      </c>
    </row>
    <row r="11" spans="1:6" x14ac:dyDescent="0.25">
      <c r="A11" s="7" t="s">
        <v>13</v>
      </c>
      <c r="B11" s="8">
        <f>COUNTIF('Прайс'!$B$4:$B$96,A11)</f>
        <v>7</v>
      </c>
      <c r="C11" s="9">
        <f>AVERAGEIF('Прайс'!$B$4:$B$96,A11,'Прайс'!$E$4:$E$96)</f>
        <v>13250</v>
      </c>
      <c r="D11" s="9">
        <f>AVERAGEIF('Прайс'!$B$4:$B$96,A11,'Прайс'!$F$4:$F$96)</f>
        <v>27130</v>
      </c>
      <c r="E11" s="9">
        <f>ROUND((C11+D11)/2,0)</f>
        <v>20190</v>
      </c>
      <c r="F11" s="9">
        <f>D11-C11</f>
        <v>13880</v>
      </c>
    </row>
    <row r="12" spans="1:6" x14ac:dyDescent="0.25">
      <c r="A12" s="7" t="s">
        <v>14</v>
      </c>
      <c r="B12" s="8">
        <f>COUNTIF('Прайс'!$B$4:$B$96,A12)</f>
        <v>13</v>
      </c>
      <c r="C12" s="9">
        <f>AVERAGEIF('Прайс'!$B$4:$B$96,A12,'Прайс'!$E$4:$E$96)</f>
        <v>8000</v>
      </c>
      <c r="D12" s="9">
        <f>AVERAGEIF('Прайс'!$B$4:$B$96,A12,'Прайс'!$F$4:$F$96)</f>
        <v>11439</v>
      </c>
      <c r="E12" s="9">
        <f>ROUND((C12+D12)/2,0)</f>
        <v>9720</v>
      </c>
      <c r="F12" s="9">
        <f>D12-C12</f>
        <v>3439</v>
      </c>
    </row>
    <row r="13" spans="1:6" x14ac:dyDescent="0.25">
      <c r="A13" s="7" t="s">
        <v>15</v>
      </c>
      <c r="B13" s="8">
        <f>COUNTIF('Прайс'!$B$4:$B$96,A13)</f>
        <v>6</v>
      </c>
      <c r="C13" s="9">
        <f>AVERAGEIF('Прайс'!$B$4:$B$96,A13,'Прайс'!$E$4:$E$96)</f>
        <v>700</v>
      </c>
      <c r="D13" s="9">
        <f>AVERAGEIF('Прайс'!$B$4:$B$96,A13,'Прайс'!$F$4:$F$96)</f>
        <v>4750</v>
      </c>
      <c r="E13" s="9">
        <f>ROUND((C13+D13)/2,0)</f>
        <v>2725</v>
      </c>
      <c r="F13" s="9">
        <f>D13-C13</f>
        <v>4050</v>
      </c>
    </row>
    <row r="14" spans="1:6" x14ac:dyDescent="0.25">
      <c r="A14" s="7" t="s">
        <v>16</v>
      </c>
      <c r="B14" s="8">
        <f>COUNTIF('Прайс'!$B$4:$B$96,A14)</f>
        <v>15</v>
      </c>
      <c r="C14" s="9">
        <f>AVERAGEIF('Прайс'!$B$4:$B$96,A14,'Прайс'!$E$4:$E$96)</f>
        <v>4273</v>
      </c>
      <c r="D14" s="9">
        <f>AVERAGEIF('Прайс'!$B$4:$B$96,A14,'Прайс'!$F$4:$F$96)</f>
        <v>11734</v>
      </c>
      <c r="E14" s="9">
        <f>ROUND((C14+D14)/2,0)</f>
        <v>8004</v>
      </c>
      <c r="F14" s="9">
        <f>D14-C14</f>
        <v>7461</v>
      </c>
    </row>
    <row r="15" spans="1:6" x14ac:dyDescent="0.25">
      <c r="A15" s="7" t="s">
        <v>17</v>
      </c>
      <c r="B15" s="8">
        <f>COUNTIF('Прайс'!$B$4:$B$96,A15)</f>
        <v>12</v>
      </c>
      <c r="C15" s="9">
        <f>AVERAGEIF('Прайс'!$B$4:$B$96,A15,'Прайс'!$E$4:$E$96)</f>
        <v>2083</v>
      </c>
      <c r="D15" s="9">
        <f>AVERAGEIF('Прайс'!$B$4:$B$96,A15,'Прайс'!$F$4:$F$96)</f>
        <v>6666</v>
      </c>
      <c r="E15" s="9">
        <f>ROUND((C15+D15)/2,0)</f>
        <v>4375</v>
      </c>
      <c r="F15" s="9">
        <f>D15-C15</f>
        <v>4583</v>
      </c>
    </row>
    <row r="16" spans="1:6" x14ac:dyDescent="0.25">
      <c r="A16" s="7" t="s">
        <v>18</v>
      </c>
      <c r="B16" s="8">
        <f>COUNTIF('Прайс'!$B$4:$B$96,A16)</f>
        <v>10</v>
      </c>
      <c r="C16" s="9">
        <f>AVERAGEIF('Прайс'!$B$4:$B$96,A16,'Прайс'!$E$4:$E$96)</f>
        <v>4379</v>
      </c>
      <c r="D16" s="9">
        <f>AVERAGEIF('Прайс'!$B$4:$B$96,A16,'Прайс'!$F$4:$F$96)</f>
        <v>11122</v>
      </c>
      <c r="E16" s="9">
        <f>ROUND((C16+D16)/2,0)</f>
        <v>7751</v>
      </c>
      <c r="F16" s="9">
        <f>D16-C16</f>
        <v>6743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  <row r="21" spans="1:1" x14ac:dyDescent="0.25">
      <c r="A21" s="10" t="s">
        <v>22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{6BB63D3D-9A8E-40FA-ADAA-D91841DB2C9C}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0" customWidth="1"/>
    <col min="4" max="4" width="18" customWidth="1"/>
    <col min="5" max="6" width="13" customWidth="1"/>
    <col min="7" max="7" width="12" customWidth="1"/>
    <col min="8" max="8" width="60" customWidth="1"/>
  </cols>
  <sheetData>
    <row r="1" ht="28" customHeight="1" spans="1:8" x14ac:dyDescent="0.25">
      <c r="A1" s="1" t="s">
        <v>23</v>
      </c>
      <c r="B1" s="1"/>
      <c r="C1" s="1"/>
      <c r="D1" s="1"/>
      <c r="E1" s="1"/>
      <c r="F1" s="1"/>
      <c r="G1" s="1"/>
      <c r="H1" s="1"/>
    </row>
    <row r="2" ht="32" customHeight="1" spans="1:8" x14ac:dyDescent="0.25">
      <c r="A2" s="2" t="s">
        <v>24</v>
      </c>
      <c r="B2" s="2"/>
      <c r="C2" s="2"/>
      <c r="D2" s="2"/>
      <c r="E2" s="2"/>
      <c r="F2" s="2"/>
      <c r="G2" s="2"/>
      <c r="H2" s="2"/>
    </row>
    <row r="3" spans="1:8" x14ac:dyDescent="0.25">
      <c r="A3" s="6" t="s">
        <v>25</v>
      </c>
      <c r="B3" s="6" t="s">
        <v>6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10</v>
      </c>
      <c r="H3" s="6" t="s">
        <v>30</v>
      </c>
    </row>
    <row r="4" ht="24" customHeight="1" spans="1:8" x14ac:dyDescent="0.25">
      <c r="A4" s="11">
        <v>1</v>
      </c>
      <c r="B4" s="7" t="s">
        <v>12</v>
      </c>
      <c r="C4" s="7" t="s">
        <v>31</v>
      </c>
      <c r="D4" s="7" t="s">
        <v>32</v>
      </c>
      <c r="E4" s="9">
        <v>27000</v>
      </c>
      <c r="F4" s="9">
        <v>150000</v>
      </c>
      <c r="G4" s="9">
        <f>ROUND((E4+F4)/2,0)</f>
        <v>88500</v>
      </c>
      <c r="H4" s="7" t="s">
        <v>33</v>
      </c>
    </row>
    <row r="5" ht="24" customHeight="1" spans="1:8" x14ac:dyDescent="0.25">
      <c r="A5" s="11">
        <v>2</v>
      </c>
      <c r="B5" s="7" t="s">
        <v>12</v>
      </c>
      <c r="C5" s="7" t="s">
        <v>34</v>
      </c>
      <c r="D5" s="7" t="s">
        <v>35</v>
      </c>
      <c r="E5" s="9">
        <v>1500</v>
      </c>
      <c r="F5" s="9">
        <v>9000</v>
      </c>
      <c r="G5" s="9">
        <f>ROUND((E5+F5)/2,0)</f>
        <v>5250</v>
      </c>
      <c r="H5" s="7" t="s">
        <v>36</v>
      </c>
    </row>
    <row r="6" ht="24" customHeight="1" spans="1:8" x14ac:dyDescent="0.25">
      <c r="A6" s="11">
        <v>3</v>
      </c>
      <c r="B6" s="7" t="s">
        <v>12</v>
      </c>
      <c r="C6" s="7" t="s">
        <v>37</v>
      </c>
      <c r="D6" s="7" t="s">
        <v>38</v>
      </c>
      <c r="E6" s="12" t="s">
        <v>39</v>
      </c>
      <c r="F6" s="12" t="s">
        <v>39</v>
      </c>
      <c r="G6" s="12" t="s">
        <v>39</v>
      </c>
      <c r="H6" s="7" t="s">
        <v>40</v>
      </c>
    </row>
    <row r="7" ht="24" customHeight="1" spans="1:8" x14ac:dyDescent="0.25">
      <c r="A7" s="11">
        <v>4</v>
      </c>
      <c r="B7" s="7" t="s">
        <v>12</v>
      </c>
      <c r="C7" s="7" t="s">
        <v>41</v>
      </c>
      <c r="D7" s="7" t="s">
        <v>35</v>
      </c>
      <c r="E7" s="9">
        <v>10000</v>
      </c>
      <c r="F7" s="9">
        <v>20000</v>
      </c>
      <c r="G7" s="9">
        <f>ROUND((E7+F7)/2,0)</f>
        <v>15000</v>
      </c>
      <c r="H7" s="7" t="s">
        <v>42</v>
      </c>
    </row>
    <row r="8" ht="24" customHeight="1" spans="1:8" x14ac:dyDescent="0.25">
      <c r="A8" s="11">
        <v>5</v>
      </c>
      <c r="B8" s="7" t="s">
        <v>12</v>
      </c>
      <c r="C8" s="7" t="s">
        <v>43</v>
      </c>
      <c r="D8" s="7" t="s">
        <v>35</v>
      </c>
      <c r="E8" s="9">
        <v>3000</v>
      </c>
      <c r="F8" s="9">
        <v>4500</v>
      </c>
      <c r="G8" s="9">
        <f>ROUND((E8+F8)/2,0)</f>
        <v>3750</v>
      </c>
      <c r="H8" s="7" t="s">
        <v>38</v>
      </c>
    </row>
    <row r="9" ht="24" customHeight="1" spans="1:8" x14ac:dyDescent="0.25">
      <c r="A9" s="11">
        <v>6</v>
      </c>
      <c r="B9" s="7" t="s">
        <v>12</v>
      </c>
      <c r="C9" s="7" t="s">
        <v>44</v>
      </c>
      <c r="D9" s="7" t="s">
        <v>35</v>
      </c>
      <c r="E9" s="9">
        <v>1000</v>
      </c>
      <c r="F9" s="9">
        <v>3000</v>
      </c>
      <c r="G9" s="9">
        <f>ROUND((E9+F9)/2,0)</f>
        <v>2000</v>
      </c>
      <c r="H9" s="7" t="s">
        <v>38</v>
      </c>
    </row>
    <row r="10" ht="24" customHeight="1" spans="1:8" x14ac:dyDescent="0.25">
      <c r="A10" s="11">
        <v>7</v>
      </c>
      <c r="B10" s="7" t="s">
        <v>12</v>
      </c>
      <c r="C10" s="7" t="s">
        <v>45</v>
      </c>
      <c r="D10" s="7" t="s">
        <v>46</v>
      </c>
      <c r="E10" s="9">
        <v>800</v>
      </c>
      <c r="F10" s="9">
        <v>2500</v>
      </c>
      <c r="G10" s="9">
        <f>ROUND((E10+F10)/2,0)</f>
        <v>1650</v>
      </c>
      <c r="H10" s="7" t="s">
        <v>38</v>
      </c>
    </row>
    <row r="11" ht="24" customHeight="1" spans="1:8" x14ac:dyDescent="0.25">
      <c r="A11" s="11">
        <v>8</v>
      </c>
      <c r="B11" s="7" t="s">
        <v>12</v>
      </c>
      <c r="C11" s="7" t="s">
        <v>47</v>
      </c>
      <c r="D11" s="7" t="s">
        <v>35</v>
      </c>
      <c r="E11" s="9">
        <v>3000</v>
      </c>
      <c r="F11" s="9">
        <v>8000</v>
      </c>
      <c r="G11" s="9">
        <f>ROUND((E11+F11)/2,0)</f>
        <v>5500</v>
      </c>
      <c r="H11" s="7" t="s">
        <v>38</v>
      </c>
    </row>
    <row r="12" ht="24" customHeight="1" spans="1:8" x14ac:dyDescent="0.25">
      <c r="A12" s="11">
        <v>9</v>
      </c>
      <c r="B12" s="7" t="s">
        <v>12</v>
      </c>
      <c r="C12" s="7" t="s">
        <v>48</v>
      </c>
      <c r="D12" s="7" t="s">
        <v>38</v>
      </c>
      <c r="E12" s="9">
        <v>1500</v>
      </c>
      <c r="F12" s="9">
        <v>4000</v>
      </c>
      <c r="G12" s="9">
        <f>ROUND((E12+F12)/2,0)</f>
        <v>2750</v>
      </c>
      <c r="H12" s="7" t="s">
        <v>49</v>
      </c>
    </row>
    <row r="13" ht="24" customHeight="1" spans="1:8" x14ac:dyDescent="0.25">
      <c r="A13" s="11">
        <v>10</v>
      </c>
      <c r="B13" s="7" t="s">
        <v>12</v>
      </c>
      <c r="C13" s="7" t="s">
        <v>50</v>
      </c>
      <c r="D13" s="7" t="s">
        <v>38</v>
      </c>
      <c r="E13" s="9">
        <v>800</v>
      </c>
      <c r="F13" s="9">
        <v>2000</v>
      </c>
      <c r="G13" s="9">
        <f>ROUND((E13+F13)/2,0)</f>
        <v>1400</v>
      </c>
      <c r="H13" s="7" t="s">
        <v>51</v>
      </c>
    </row>
    <row r="14" ht="24" customHeight="1" spans="1:8" x14ac:dyDescent="0.25">
      <c r="A14" s="11">
        <v>11</v>
      </c>
      <c r="B14" s="7" t="s">
        <v>12</v>
      </c>
      <c r="C14" s="7" t="s">
        <v>52</v>
      </c>
      <c r="D14" s="7" t="s">
        <v>38</v>
      </c>
      <c r="E14" s="9">
        <v>3000</v>
      </c>
      <c r="F14" s="9">
        <v>6000</v>
      </c>
      <c r="G14" s="9">
        <f>ROUND((E14+F14)/2,0)</f>
        <v>4500</v>
      </c>
      <c r="H14" s="7" t="s">
        <v>38</v>
      </c>
    </row>
    <row r="15" ht="24" customHeight="1" spans="1:8" x14ac:dyDescent="0.25">
      <c r="A15" s="11">
        <v>12</v>
      </c>
      <c r="B15" s="7" t="s">
        <v>12</v>
      </c>
      <c r="C15" s="7" t="s">
        <v>53</v>
      </c>
      <c r="D15" s="7" t="s">
        <v>38</v>
      </c>
      <c r="E15" s="9">
        <v>200</v>
      </c>
      <c r="F15" s="9">
        <v>1500</v>
      </c>
      <c r="G15" s="9">
        <f>ROUND((E15+F15)/2,0)</f>
        <v>850</v>
      </c>
      <c r="H15" s="7" t="s">
        <v>54</v>
      </c>
    </row>
    <row r="16" ht="24" customHeight="1" spans="1:8" x14ac:dyDescent="0.25">
      <c r="A16" s="11">
        <v>13</v>
      </c>
      <c r="B16" s="7" t="s">
        <v>12</v>
      </c>
      <c r="C16" s="7" t="s">
        <v>55</v>
      </c>
      <c r="D16" s="7" t="s">
        <v>38</v>
      </c>
      <c r="E16" s="9">
        <v>3500</v>
      </c>
      <c r="F16" s="9">
        <v>7000</v>
      </c>
      <c r="G16" s="9">
        <f>ROUND((E16+F16)/2,0)</f>
        <v>5250</v>
      </c>
      <c r="H16" s="7" t="s">
        <v>38</v>
      </c>
    </row>
    <row r="17" ht="24" customHeight="1" spans="1:8" x14ac:dyDescent="0.25">
      <c r="A17" s="11">
        <v>14</v>
      </c>
      <c r="B17" s="7" t="s">
        <v>12</v>
      </c>
      <c r="C17" s="7" t="s">
        <v>56</v>
      </c>
      <c r="D17" s="7" t="s">
        <v>35</v>
      </c>
      <c r="E17" s="9">
        <v>2500</v>
      </c>
      <c r="F17" s="9">
        <v>5000</v>
      </c>
      <c r="G17" s="9">
        <f>ROUND((E17+F17)/2,0)</f>
        <v>3750</v>
      </c>
      <c r="H17" s="7" t="s">
        <v>57</v>
      </c>
    </row>
    <row r="18" ht="24" customHeight="1" spans="1:8" x14ac:dyDescent="0.25">
      <c r="A18" s="11">
        <v>15</v>
      </c>
      <c r="B18" s="7" t="s">
        <v>12</v>
      </c>
      <c r="C18" s="7" t="s">
        <v>58</v>
      </c>
      <c r="D18" s="7" t="s">
        <v>59</v>
      </c>
      <c r="E18" s="9">
        <v>1000</v>
      </c>
      <c r="F18" s="9">
        <v>3000</v>
      </c>
      <c r="G18" s="9">
        <f>ROUND((E18+F18)/2,0)</f>
        <v>2000</v>
      </c>
      <c r="H18" s="7" t="s">
        <v>60</v>
      </c>
    </row>
    <row r="19" ht="24" customHeight="1" spans="1:8" x14ac:dyDescent="0.25">
      <c r="A19" s="11">
        <v>16</v>
      </c>
      <c r="B19" s="7" t="s">
        <v>12</v>
      </c>
      <c r="C19" s="7" t="s">
        <v>61</v>
      </c>
      <c r="D19" s="7" t="s">
        <v>62</v>
      </c>
      <c r="E19" s="9">
        <v>500</v>
      </c>
      <c r="F19" s="9">
        <v>1500</v>
      </c>
      <c r="G19" s="9">
        <f>ROUND((E19+F19)/2,0)</f>
        <v>1000</v>
      </c>
      <c r="H19" s="7" t="s">
        <v>63</v>
      </c>
    </row>
    <row r="20" ht="24" customHeight="1" spans="1:8" x14ac:dyDescent="0.25">
      <c r="A20" s="11">
        <v>17</v>
      </c>
      <c r="B20" s="7" t="s">
        <v>12</v>
      </c>
      <c r="C20" s="7" t="s">
        <v>64</v>
      </c>
      <c r="D20" s="7" t="s">
        <v>38</v>
      </c>
      <c r="E20" s="9">
        <v>2000</v>
      </c>
      <c r="F20" s="9">
        <v>4000</v>
      </c>
      <c r="G20" s="9">
        <f>ROUND((E20+F20)/2,0)</f>
        <v>3000</v>
      </c>
      <c r="H20" s="7" t="s">
        <v>38</v>
      </c>
    </row>
    <row r="21" ht="24" customHeight="1" spans="1:8" x14ac:dyDescent="0.25">
      <c r="A21" s="11">
        <v>18</v>
      </c>
      <c r="B21" s="7" t="s">
        <v>12</v>
      </c>
      <c r="C21" s="7" t="s">
        <v>65</v>
      </c>
      <c r="D21" s="7" t="s">
        <v>38</v>
      </c>
      <c r="E21" s="9">
        <v>2000</v>
      </c>
      <c r="F21" s="9">
        <v>5000</v>
      </c>
      <c r="G21" s="9">
        <f>ROUND((E21+F21)/2,0)</f>
        <v>3500</v>
      </c>
      <c r="H21" s="7" t="s">
        <v>38</v>
      </c>
    </row>
    <row r="22" ht="24" customHeight="1" spans="1:8" x14ac:dyDescent="0.25">
      <c r="A22" s="11">
        <v>19</v>
      </c>
      <c r="B22" s="7" t="s">
        <v>12</v>
      </c>
      <c r="C22" s="7" t="s">
        <v>66</v>
      </c>
      <c r="D22" s="7" t="s">
        <v>38</v>
      </c>
      <c r="E22" s="9">
        <v>500</v>
      </c>
      <c r="F22" s="9">
        <v>2000</v>
      </c>
      <c r="G22" s="9">
        <f>ROUND((E22+F22)/2,0)</f>
        <v>1250</v>
      </c>
      <c r="H22" s="7" t="s">
        <v>38</v>
      </c>
    </row>
    <row r="23" ht="24" customHeight="1" spans="1:8" x14ac:dyDescent="0.25">
      <c r="A23" s="11">
        <v>20</v>
      </c>
      <c r="B23" s="7" t="s">
        <v>12</v>
      </c>
      <c r="C23" s="7" t="s">
        <v>67</v>
      </c>
      <c r="D23" s="7" t="s">
        <v>38</v>
      </c>
      <c r="E23" s="9">
        <v>1000</v>
      </c>
      <c r="F23" s="9">
        <v>1000</v>
      </c>
      <c r="G23" s="9">
        <f>ROUND((E23+F23)/2,0)</f>
        <v>1000</v>
      </c>
      <c r="H23" s="7" t="s">
        <v>38</v>
      </c>
    </row>
    <row r="24" ht="24" customHeight="1" spans="1:8" x14ac:dyDescent="0.25">
      <c r="A24" s="11">
        <v>21</v>
      </c>
      <c r="B24" s="7" t="s">
        <v>12</v>
      </c>
      <c r="C24" s="7" t="s">
        <v>68</v>
      </c>
      <c r="D24" s="7" t="s">
        <v>38</v>
      </c>
      <c r="E24" s="9">
        <v>3000</v>
      </c>
      <c r="F24" s="9">
        <v>5000</v>
      </c>
      <c r="G24" s="9">
        <f>ROUND((E24+F24)/2,0)</f>
        <v>4000</v>
      </c>
      <c r="H24" s="7" t="s">
        <v>69</v>
      </c>
    </row>
    <row r="25" ht="24" customHeight="1" spans="1:8" x14ac:dyDescent="0.25">
      <c r="A25" s="11">
        <v>22</v>
      </c>
      <c r="B25" s="7" t="s">
        <v>12</v>
      </c>
      <c r="C25" s="7" t="s">
        <v>70</v>
      </c>
      <c r="D25" s="7" t="s">
        <v>35</v>
      </c>
      <c r="E25" s="9">
        <v>1500</v>
      </c>
      <c r="F25" s="9">
        <v>3000</v>
      </c>
      <c r="G25" s="9">
        <f>ROUND((E25+F25)/2,0)</f>
        <v>2250</v>
      </c>
      <c r="H25" s="7" t="s">
        <v>71</v>
      </c>
    </row>
    <row r="26" ht="24" customHeight="1" spans="1:8" x14ac:dyDescent="0.25">
      <c r="A26" s="11">
        <v>23</v>
      </c>
      <c r="B26" s="7" t="s">
        <v>12</v>
      </c>
      <c r="C26" s="7" t="s">
        <v>72</v>
      </c>
      <c r="D26" s="7" t="s">
        <v>73</v>
      </c>
      <c r="E26" s="9">
        <v>3000</v>
      </c>
      <c r="F26" s="9">
        <v>8000</v>
      </c>
      <c r="G26" s="9">
        <f>ROUND((E26+F26)/2,0)</f>
        <v>5500</v>
      </c>
      <c r="H26" s="7" t="s">
        <v>74</v>
      </c>
    </row>
    <row r="27" ht="24" customHeight="1" spans="1:8" x14ac:dyDescent="0.25">
      <c r="A27" s="11">
        <v>24</v>
      </c>
      <c r="B27" s="7" t="s">
        <v>12</v>
      </c>
      <c r="C27" s="7" t="s">
        <v>75</v>
      </c>
      <c r="D27" s="7" t="s">
        <v>38</v>
      </c>
      <c r="E27" s="9">
        <v>2000</v>
      </c>
      <c r="F27" s="9">
        <v>5000</v>
      </c>
      <c r="G27" s="9">
        <f>ROUND((E27+F27)/2,0)</f>
        <v>3500</v>
      </c>
      <c r="H27" s="7" t="s">
        <v>76</v>
      </c>
    </row>
    <row r="28" ht="24" customHeight="1" spans="1:8" x14ac:dyDescent="0.25">
      <c r="A28" s="11">
        <v>25</v>
      </c>
      <c r="B28" s="7" t="s">
        <v>12</v>
      </c>
      <c r="C28" s="7" t="s">
        <v>77</v>
      </c>
      <c r="D28" s="7" t="s">
        <v>78</v>
      </c>
      <c r="E28" s="9">
        <v>4000</v>
      </c>
      <c r="F28" s="9">
        <v>8000</v>
      </c>
      <c r="G28" s="9">
        <f>ROUND((E28+F28)/2,0)</f>
        <v>6000</v>
      </c>
      <c r="H28" s="7" t="s">
        <v>79</v>
      </c>
    </row>
    <row r="29" ht="24" customHeight="1" spans="1:8" x14ac:dyDescent="0.25">
      <c r="A29" s="11">
        <v>26</v>
      </c>
      <c r="B29" s="7" t="s">
        <v>12</v>
      </c>
      <c r="C29" s="7" t="s">
        <v>80</v>
      </c>
      <c r="D29" s="7" t="s">
        <v>38</v>
      </c>
      <c r="E29" s="9">
        <v>3000</v>
      </c>
      <c r="F29" s="9">
        <v>10000</v>
      </c>
      <c r="G29" s="9">
        <f>ROUND((E29+F29)/2,0)</f>
        <v>6500</v>
      </c>
      <c r="H29" s="7" t="s">
        <v>81</v>
      </c>
    </row>
    <row r="30" ht="24" customHeight="1" spans="1:8" x14ac:dyDescent="0.25">
      <c r="A30" s="11">
        <v>27</v>
      </c>
      <c r="B30" s="7" t="s">
        <v>12</v>
      </c>
      <c r="C30" s="7" t="s">
        <v>82</v>
      </c>
      <c r="D30" s="7" t="s">
        <v>35</v>
      </c>
      <c r="E30" s="9">
        <v>5000</v>
      </c>
      <c r="F30" s="9">
        <v>15000</v>
      </c>
      <c r="G30" s="9">
        <f>ROUND((E30+F30)/2,0)</f>
        <v>10000</v>
      </c>
      <c r="H30" s="7" t="s">
        <v>83</v>
      </c>
    </row>
    <row r="31" ht="24" customHeight="1" spans="1:8" x14ac:dyDescent="0.25">
      <c r="A31" s="11">
        <v>28</v>
      </c>
      <c r="B31" s="7" t="s">
        <v>12</v>
      </c>
      <c r="C31" s="7" t="s">
        <v>84</v>
      </c>
      <c r="D31" s="7" t="s">
        <v>38</v>
      </c>
      <c r="E31" s="9">
        <v>2000</v>
      </c>
      <c r="F31" s="9">
        <v>5000</v>
      </c>
      <c r="G31" s="9">
        <f>ROUND((E31+F31)/2,0)</f>
        <v>3500</v>
      </c>
      <c r="H31" s="7" t="s">
        <v>38</v>
      </c>
    </row>
    <row r="32" ht="24" customHeight="1" spans="1:8" x14ac:dyDescent="0.25">
      <c r="A32" s="11">
        <v>29</v>
      </c>
      <c r="B32" s="7" t="s">
        <v>12</v>
      </c>
      <c r="C32" s="7" t="s">
        <v>85</v>
      </c>
      <c r="D32" s="7" t="s">
        <v>35</v>
      </c>
      <c r="E32" s="9">
        <v>2500</v>
      </c>
      <c r="F32" s="9">
        <v>5000</v>
      </c>
      <c r="G32" s="9">
        <f>ROUND((E32+F32)/2,0)</f>
        <v>3750</v>
      </c>
      <c r="H32" s="7" t="s">
        <v>38</v>
      </c>
    </row>
    <row r="33" ht="24" customHeight="1" spans="1:8" x14ac:dyDescent="0.25">
      <c r="A33" s="11">
        <v>30</v>
      </c>
      <c r="B33" s="7" t="s">
        <v>12</v>
      </c>
      <c r="C33" s="7" t="s">
        <v>86</v>
      </c>
      <c r="D33" s="7" t="s">
        <v>87</v>
      </c>
      <c r="E33" s="9">
        <v>2000</v>
      </c>
      <c r="F33" s="9">
        <v>4000</v>
      </c>
      <c r="G33" s="9">
        <f>ROUND((E33+F33)/2,0)</f>
        <v>3000</v>
      </c>
      <c r="H33" s="7" t="s">
        <v>38</v>
      </c>
    </row>
    <row r="34" ht="24" customHeight="1" spans="1:8" x14ac:dyDescent="0.25">
      <c r="A34" s="11">
        <v>31</v>
      </c>
      <c r="B34" s="7" t="s">
        <v>13</v>
      </c>
      <c r="C34" s="7" t="s">
        <v>88</v>
      </c>
      <c r="D34" s="7" t="s">
        <v>89</v>
      </c>
      <c r="E34" s="9">
        <v>10000</v>
      </c>
      <c r="F34" s="9">
        <v>57719</v>
      </c>
      <c r="G34" s="9">
        <f>ROUND((E34+F34)/2,0)</f>
        <v>33860</v>
      </c>
      <c r="H34" s="7" t="s">
        <v>90</v>
      </c>
    </row>
    <row r="35" ht="24" customHeight="1" spans="1:8" x14ac:dyDescent="0.25">
      <c r="A35" s="11">
        <v>32</v>
      </c>
      <c r="B35" s="7" t="s">
        <v>13</v>
      </c>
      <c r="C35" s="7" t="s">
        <v>91</v>
      </c>
      <c r="D35" s="7" t="s">
        <v>92</v>
      </c>
      <c r="E35" s="9">
        <v>35000</v>
      </c>
      <c r="F35" s="9">
        <v>35000</v>
      </c>
      <c r="G35" s="9">
        <f>ROUND((E35+F35)/2,0)</f>
        <v>35000</v>
      </c>
      <c r="H35" s="7" t="s">
        <v>93</v>
      </c>
    </row>
    <row r="36" ht="24" customHeight="1" spans="1:8" x14ac:dyDescent="0.25">
      <c r="A36" s="11">
        <v>33</v>
      </c>
      <c r="B36" s="7" t="s">
        <v>13</v>
      </c>
      <c r="C36" s="7" t="s">
        <v>94</v>
      </c>
      <c r="D36" s="7" t="s">
        <v>89</v>
      </c>
      <c r="E36" s="12" t="s">
        <v>39</v>
      </c>
      <c r="F36" s="12" t="s">
        <v>39</v>
      </c>
      <c r="G36" s="12" t="s">
        <v>39</v>
      </c>
      <c r="H36" s="7" t="s">
        <v>95</v>
      </c>
    </row>
    <row r="37" ht="24" customHeight="1" spans="1:8" x14ac:dyDescent="0.25">
      <c r="A37" s="11">
        <v>34</v>
      </c>
      <c r="B37" s="7" t="s">
        <v>13</v>
      </c>
      <c r="C37" s="7" t="s">
        <v>96</v>
      </c>
      <c r="D37" s="7" t="s">
        <v>38</v>
      </c>
      <c r="E37" s="9">
        <v>1700</v>
      </c>
      <c r="F37" s="9">
        <v>7200</v>
      </c>
      <c r="G37" s="9">
        <f>ROUND((E37+F37)/2,0)</f>
        <v>4450</v>
      </c>
      <c r="H37" s="7" t="s">
        <v>38</v>
      </c>
    </row>
    <row r="38" ht="24" customHeight="1" spans="1:8" x14ac:dyDescent="0.25">
      <c r="A38" s="11">
        <v>35</v>
      </c>
      <c r="B38" s="7" t="s">
        <v>13</v>
      </c>
      <c r="C38" s="7" t="s">
        <v>97</v>
      </c>
      <c r="D38" s="7" t="s">
        <v>38</v>
      </c>
      <c r="E38" s="12" t="s">
        <v>39</v>
      </c>
      <c r="F38" s="12" t="s">
        <v>39</v>
      </c>
      <c r="G38" s="12" t="s">
        <v>39</v>
      </c>
      <c r="H38" s="7" t="s">
        <v>98</v>
      </c>
    </row>
    <row r="39" ht="24" customHeight="1" spans="1:8" x14ac:dyDescent="0.25">
      <c r="A39" s="11">
        <v>36</v>
      </c>
      <c r="B39" s="7" t="s">
        <v>13</v>
      </c>
      <c r="C39" s="7" t="s">
        <v>99</v>
      </c>
      <c r="D39" s="7" t="s">
        <v>38</v>
      </c>
      <c r="E39" s="12" t="s">
        <v>39</v>
      </c>
      <c r="F39" s="12" t="s">
        <v>39</v>
      </c>
      <c r="G39" s="12" t="s">
        <v>39</v>
      </c>
      <c r="H39" s="7" t="s">
        <v>100</v>
      </c>
    </row>
    <row r="40" ht="24" customHeight="1" spans="1:8" x14ac:dyDescent="0.25">
      <c r="A40" s="11">
        <v>37</v>
      </c>
      <c r="B40" s="7" t="s">
        <v>13</v>
      </c>
      <c r="C40" s="7" t="s">
        <v>101</v>
      </c>
      <c r="D40" s="7" t="s">
        <v>38</v>
      </c>
      <c r="E40" s="9">
        <v>6300</v>
      </c>
      <c r="F40" s="9">
        <v>8600</v>
      </c>
      <c r="G40" s="9">
        <f>ROUND((E40+F40)/2,0)</f>
        <v>7450</v>
      </c>
      <c r="H40" s="7" t="s">
        <v>38</v>
      </c>
    </row>
    <row r="41" ht="24" customHeight="1" spans="1:8" x14ac:dyDescent="0.25">
      <c r="A41" s="11">
        <v>38</v>
      </c>
      <c r="B41" s="7" t="s">
        <v>14</v>
      </c>
      <c r="C41" s="7" t="s">
        <v>102</v>
      </c>
      <c r="D41" s="7" t="s">
        <v>38</v>
      </c>
      <c r="E41" s="9">
        <v>3000</v>
      </c>
      <c r="F41" s="9">
        <v>3900</v>
      </c>
      <c r="G41" s="9">
        <f>ROUND((E41+F41)/2,0)</f>
        <v>3450</v>
      </c>
      <c r="H41" s="7" t="s">
        <v>103</v>
      </c>
    </row>
    <row r="42" ht="24" customHeight="1" spans="1:8" x14ac:dyDescent="0.25">
      <c r="A42" s="11">
        <v>39</v>
      </c>
      <c r="B42" s="7" t="s">
        <v>14</v>
      </c>
      <c r="C42" s="7" t="s">
        <v>104</v>
      </c>
      <c r="D42" s="7" t="s">
        <v>38</v>
      </c>
      <c r="E42" s="12" t="s">
        <v>39</v>
      </c>
      <c r="F42" s="12" t="s">
        <v>39</v>
      </c>
      <c r="G42" s="12" t="s">
        <v>39</v>
      </c>
      <c r="H42" s="7" t="s">
        <v>105</v>
      </c>
    </row>
    <row r="43" ht="24" customHeight="1" spans="1:8" x14ac:dyDescent="0.25">
      <c r="A43" s="11">
        <v>40</v>
      </c>
      <c r="B43" s="7" t="s">
        <v>14</v>
      </c>
      <c r="C43" s="7" t="s">
        <v>106</v>
      </c>
      <c r="D43" s="7" t="s">
        <v>38</v>
      </c>
      <c r="E43" s="12" t="s">
        <v>39</v>
      </c>
      <c r="F43" s="12" t="s">
        <v>39</v>
      </c>
      <c r="G43" s="12" t="s">
        <v>39</v>
      </c>
      <c r="H43" s="7" t="s">
        <v>107</v>
      </c>
    </row>
    <row r="44" ht="24" customHeight="1" spans="1:8" x14ac:dyDescent="0.25">
      <c r="A44" s="11">
        <v>41</v>
      </c>
      <c r="B44" s="7" t="s">
        <v>14</v>
      </c>
      <c r="C44" s="7" t="s">
        <v>108</v>
      </c>
      <c r="D44" s="7" t="s">
        <v>109</v>
      </c>
      <c r="E44" s="9">
        <v>3000</v>
      </c>
      <c r="F44" s="9">
        <v>4416</v>
      </c>
      <c r="G44" s="9">
        <f>ROUND((E44+F44)/2,0)</f>
        <v>3708</v>
      </c>
      <c r="H44" s="7" t="s">
        <v>110</v>
      </c>
    </row>
    <row r="45" ht="24" customHeight="1" spans="1:8" x14ac:dyDescent="0.25">
      <c r="A45" s="11">
        <v>42</v>
      </c>
      <c r="B45" s="7" t="s">
        <v>14</v>
      </c>
      <c r="C45" s="7" t="s">
        <v>111</v>
      </c>
      <c r="D45" s="7" t="s">
        <v>38</v>
      </c>
      <c r="E45" s="12" t="s">
        <v>39</v>
      </c>
      <c r="F45" s="12" t="s">
        <v>39</v>
      </c>
      <c r="G45" s="12" t="s">
        <v>39</v>
      </c>
      <c r="H45" s="7" t="s">
        <v>112</v>
      </c>
    </row>
    <row r="46" ht="24" customHeight="1" spans="1:8" x14ac:dyDescent="0.25">
      <c r="A46" s="11">
        <v>43</v>
      </c>
      <c r="B46" s="7" t="s">
        <v>14</v>
      </c>
      <c r="C46" s="7" t="s">
        <v>113</v>
      </c>
      <c r="D46" s="7" t="s">
        <v>38</v>
      </c>
      <c r="E46" s="12" t="s">
        <v>39</v>
      </c>
      <c r="F46" s="12" t="s">
        <v>39</v>
      </c>
      <c r="G46" s="12" t="s">
        <v>39</v>
      </c>
      <c r="H46" s="7" t="s">
        <v>107</v>
      </c>
    </row>
    <row r="47" ht="24" customHeight="1" spans="1:8" x14ac:dyDescent="0.25">
      <c r="A47" s="11">
        <v>44</v>
      </c>
      <c r="B47" s="7" t="s">
        <v>14</v>
      </c>
      <c r="C47" s="7" t="s">
        <v>114</v>
      </c>
      <c r="D47" s="7" t="s">
        <v>38</v>
      </c>
      <c r="E47" s="12" t="s">
        <v>39</v>
      </c>
      <c r="F47" s="12" t="s">
        <v>39</v>
      </c>
      <c r="G47" s="12" t="s">
        <v>39</v>
      </c>
      <c r="H47" s="7" t="s">
        <v>115</v>
      </c>
    </row>
    <row r="48" ht="24" customHeight="1" spans="1:8" x14ac:dyDescent="0.25">
      <c r="A48" s="11">
        <v>45</v>
      </c>
      <c r="B48" s="7" t="s">
        <v>14</v>
      </c>
      <c r="C48" s="7" t="s">
        <v>116</v>
      </c>
      <c r="D48" s="7" t="s">
        <v>38</v>
      </c>
      <c r="E48" s="12" t="s">
        <v>39</v>
      </c>
      <c r="F48" s="12" t="s">
        <v>39</v>
      </c>
      <c r="G48" s="12" t="s">
        <v>39</v>
      </c>
      <c r="H48" s="7" t="s">
        <v>107</v>
      </c>
    </row>
    <row r="49" ht="24" customHeight="1" spans="1:8" x14ac:dyDescent="0.25">
      <c r="A49" s="11">
        <v>46</v>
      </c>
      <c r="B49" s="7" t="s">
        <v>14</v>
      </c>
      <c r="C49" s="7" t="s">
        <v>117</v>
      </c>
      <c r="D49" s="7" t="s">
        <v>118</v>
      </c>
      <c r="E49" s="9">
        <v>18000</v>
      </c>
      <c r="F49" s="9">
        <v>26000</v>
      </c>
      <c r="G49" s="9">
        <f>ROUND((E49+F49)/2,0)</f>
        <v>22000</v>
      </c>
      <c r="H49" s="7" t="s">
        <v>119</v>
      </c>
    </row>
    <row r="50" ht="24" customHeight="1" spans="1:8" x14ac:dyDescent="0.25">
      <c r="A50" s="11">
        <v>47</v>
      </c>
      <c r="B50" s="7" t="s">
        <v>14</v>
      </c>
      <c r="C50" s="7" t="s">
        <v>120</v>
      </c>
      <c r="D50" s="7" t="s">
        <v>38</v>
      </c>
      <c r="E50" s="12" t="s">
        <v>39</v>
      </c>
      <c r="F50" s="12" t="s">
        <v>39</v>
      </c>
      <c r="G50" s="12" t="s">
        <v>39</v>
      </c>
      <c r="H50" s="7" t="s">
        <v>112</v>
      </c>
    </row>
    <row r="51" ht="24" customHeight="1" spans="1:8" x14ac:dyDescent="0.25">
      <c r="A51" s="11">
        <v>48</v>
      </c>
      <c r="B51" s="7" t="s">
        <v>14</v>
      </c>
      <c r="C51" s="7" t="s">
        <v>121</v>
      </c>
      <c r="D51" s="7" t="s">
        <v>38</v>
      </c>
      <c r="E51" s="12" t="s">
        <v>39</v>
      </c>
      <c r="F51" s="12" t="s">
        <v>39</v>
      </c>
      <c r="G51" s="12" t="s">
        <v>39</v>
      </c>
      <c r="H51" s="7" t="s">
        <v>115</v>
      </c>
    </row>
    <row r="52" ht="24" customHeight="1" spans="1:8" x14ac:dyDescent="0.25">
      <c r="A52" s="11">
        <v>49</v>
      </c>
      <c r="B52" s="7" t="s">
        <v>14</v>
      </c>
      <c r="C52" s="7" t="s">
        <v>122</v>
      </c>
      <c r="D52" s="7" t="s">
        <v>38</v>
      </c>
      <c r="E52" s="12" t="s">
        <v>39</v>
      </c>
      <c r="F52" s="12" t="s">
        <v>39</v>
      </c>
      <c r="G52" s="12" t="s">
        <v>39</v>
      </c>
      <c r="H52" s="7" t="s">
        <v>112</v>
      </c>
    </row>
    <row r="53" ht="24" customHeight="1" spans="1:8" x14ac:dyDescent="0.25">
      <c r="A53" s="11">
        <v>50</v>
      </c>
      <c r="B53" s="7" t="s">
        <v>14</v>
      </c>
      <c r="C53" s="7" t="s">
        <v>123</v>
      </c>
      <c r="D53" s="7" t="s">
        <v>38</v>
      </c>
      <c r="E53" s="12" t="s">
        <v>39</v>
      </c>
      <c r="F53" s="12" t="s">
        <v>39</v>
      </c>
      <c r="G53" s="12" t="s">
        <v>39</v>
      </c>
      <c r="H53" s="7" t="s">
        <v>112</v>
      </c>
    </row>
    <row r="54" ht="24" customHeight="1" spans="1:8" x14ac:dyDescent="0.25">
      <c r="A54" s="11">
        <v>51</v>
      </c>
      <c r="B54" s="7" t="s">
        <v>15</v>
      </c>
      <c r="C54" s="7" t="s">
        <v>124</v>
      </c>
      <c r="D54" s="7" t="s">
        <v>38</v>
      </c>
      <c r="E54" s="9">
        <v>700</v>
      </c>
      <c r="F54" s="9">
        <v>4500</v>
      </c>
      <c r="G54" s="9">
        <f>ROUND((E54+F54)/2,0)</f>
        <v>2600</v>
      </c>
      <c r="H54" s="7" t="s">
        <v>38</v>
      </c>
    </row>
    <row r="55" ht="24" customHeight="1" spans="1:8" x14ac:dyDescent="0.25">
      <c r="A55" s="11">
        <v>52</v>
      </c>
      <c r="B55" s="7" t="s">
        <v>15</v>
      </c>
      <c r="C55" s="7" t="s">
        <v>125</v>
      </c>
      <c r="D55" s="7" t="s">
        <v>38</v>
      </c>
      <c r="E55" s="12" t="s">
        <v>39</v>
      </c>
      <c r="F55" s="12" t="s">
        <v>39</v>
      </c>
      <c r="G55" s="12" t="s">
        <v>39</v>
      </c>
      <c r="H55" s="7" t="s">
        <v>112</v>
      </c>
    </row>
    <row r="56" ht="24" customHeight="1" spans="1:8" x14ac:dyDescent="0.25">
      <c r="A56" s="11">
        <v>53</v>
      </c>
      <c r="B56" s="7" t="s">
        <v>15</v>
      </c>
      <c r="C56" s="7" t="s">
        <v>126</v>
      </c>
      <c r="D56" s="7" t="s">
        <v>38</v>
      </c>
      <c r="E56" s="12" t="s">
        <v>39</v>
      </c>
      <c r="F56" s="12" t="s">
        <v>39</v>
      </c>
      <c r="G56" s="12" t="s">
        <v>39</v>
      </c>
      <c r="H56" s="7" t="s">
        <v>127</v>
      </c>
    </row>
    <row r="57" ht="24" customHeight="1" spans="1:8" x14ac:dyDescent="0.25">
      <c r="A57" s="11">
        <v>54</v>
      </c>
      <c r="B57" s="7" t="s">
        <v>15</v>
      </c>
      <c r="C57" s="7" t="s">
        <v>128</v>
      </c>
      <c r="D57" s="7" t="s">
        <v>38</v>
      </c>
      <c r="E57" s="12" t="s">
        <v>39</v>
      </c>
      <c r="F57" s="12" t="s">
        <v>39</v>
      </c>
      <c r="G57" s="12" t="s">
        <v>39</v>
      </c>
      <c r="H57" s="7" t="s">
        <v>112</v>
      </c>
    </row>
    <row r="58" ht="24" customHeight="1" spans="1:8" x14ac:dyDescent="0.25">
      <c r="A58" s="11">
        <v>55</v>
      </c>
      <c r="B58" s="7" t="s">
        <v>15</v>
      </c>
      <c r="C58" s="7" t="s">
        <v>129</v>
      </c>
      <c r="D58" s="7" t="s">
        <v>38</v>
      </c>
      <c r="E58" s="12" t="s">
        <v>39</v>
      </c>
      <c r="F58" s="12" t="s">
        <v>39</v>
      </c>
      <c r="G58" s="12" t="s">
        <v>39</v>
      </c>
      <c r="H58" s="7" t="s">
        <v>112</v>
      </c>
    </row>
    <row r="59" ht="24" customHeight="1" spans="1:8" x14ac:dyDescent="0.25">
      <c r="A59" s="11">
        <v>56</v>
      </c>
      <c r="B59" s="7" t="s">
        <v>15</v>
      </c>
      <c r="C59" s="7" t="s">
        <v>130</v>
      </c>
      <c r="D59" s="7" t="s">
        <v>38</v>
      </c>
      <c r="E59" s="9">
        <v>700</v>
      </c>
      <c r="F59" s="9">
        <v>5000</v>
      </c>
      <c r="G59" s="9">
        <f>ROUND((E59+F59)/2,0)</f>
        <v>2850</v>
      </c>
      <c r="H59" s="7" t="s">
        <v>131</v>
      </c>
    </row>
    <row r="60" ht="24" customHeight="1" spans="1:8" x14ac:dyDescent="0.25">
      <c r="A60" s="11">
        <v>57</v>
      </c>
      <c r="B60" s="7" t="s">
        <v>16</v>
      </c>
      <c r="C60" s="7" t="s">
        <v>132</v>
      </c>
      <c r="D60" s="7" t="s">
        <v>133</v>
      </c>
      <c r="E60" s="9">
        <v>3500</v>
      </c>
      <c r="F60" s="9">
        <v>15000</v>
      </c>
      <c r="G60" s="9">
        <f>ROUND((E60+F60)/2,0)</f>
        <v>9250</v>
      </c>
      <c r="H60" s="7" t="s">
        <v>38</v>
      </c>
    </row>
    <row r="61" ht="24" customHeight="1" spans="1:8" x14ac:dyDescent="0.25">
      <c r="A61" s="11">
        <v>58</v>
      </c>
      <c r="B61" s="7" t="s">
        <v>16</v>
      </c>
      <c r="C61" s="7" t="s">
        <v>134</v>
      </c>
      <c r="D61" s="7" t="s">
        <v>135</v>
      </c>
      <c r="E61" s="9">
        <v>10000</v>
      </c>
      <c r="F61" s="9">
        <v>25000</v>
      </c>
      <c r="G61" s="9">
        <f>ROUND((E61+F61)/2,0)</f>
        <v>17500</v>
      </c>
      <c r="H61" s="7" t="s">
        <v>38</v>
      </c>
    </row>
    <row r="62" ht="24" customHeight="1" spans="1:8" x14ac:dyDescent="0.25">
      <c r="A62" s="11">
        <v>59</v>
      </c>
      <c r="B62" s="7" t="s">
        <v>16</v>
      </c>
      <c r="C62" s="7" t="s">
        <v>136</v>
      </c>
      <c r="D62" s="7" t="s">
        <v>38</v>
      </c>
      <c r="E62" s="9">
        <v>2500</v>
      </c>
      <c r="F62" s="9">
        <v>6500</v>
      </c>
      <c r="G62" s="9">
        <f>ROUND((E62+F62)/2,0)</f>
        <v>4500</v>
      </c>
      <c r="H62" s="7" t="s">
        <v>137</v>
      </c>
    </row>
    <row r="63" ht="24" customHeight="1" spans="1:8" x14ac:dyDescent="0.25">
      <c r="A63" s="11">
        <v>60</v>
      </c>
      <c r="B63" s="7" t="s">
        <v>16</v>
      </c>
      <c r="C63" s="7" t="s">
        <v>138</v>
      </c>
      <c r="D63" s="7" t="s">
        <v>38</v>
      </c>
      <c r="E63" s="9">
        <v>5000</v>
      </c>
      <c r="F63" s="9">
        <v>15000</v>
      </c>
      <c r="G63" s="9">
        <f>ROUND((E63+F63)/2,0)</f>
        <v>10000</v>
      </c>
      <c r="H63" s="7" t="s">
        <v>38</v>
      </c>
    </row>
    <row r="64" ht="24" customHeight="1" spans="1:8" x14ac:dyDescent="0.25">
      <c r="A64" s="11">
        <v>61</v>
      </c>
      <c r="B64" s="7" t="s">
        <v>16</v>
      </c>
      <c r="C64" s="7" t="s">
        <v>139</v>
      </c>
      <c r="D64" s="7" t="s">
        <v>38</v>
      </c>
      <c r="E64" s="9">
        <v>3000</v>
      </c>
      <c r="F64" s="9">
        <v>8750</v>
      </c>
      <c r="G64" s="9">
        <f>ROUND((E64+F64)/2,0)</f>
        <v>5875</v>
      </c>
      <c r="H64" s="7" t="s">
        <v>38</v>
      </c>
    </row>
    <row r="65" ht="24" customHeight="1" spans="1:8" x14ac:dyDescent="0.25">
      <c r="A65" s="11">
        <v>62</v>
      </c>
      <c r="B65" s="7" t="s">
        <v>16</v>
      </c>
      <c r="C65" s="7" t="s">
        <v>140</v>
      </c>
      <c r="D65" s="7" t="s">
        <v>38</v>
      </c>
      <c r="E65" s="9">
        <v>3000</v>
      </c>
      <c r="F65" s="9">
        <v>14644</v>
      </c>
      <c r="G65" s="9">
        <f>ROUND((E65+F65)/2,0)</f>
        <v>8822</v>
      </c>
      <c r="H65" s="7" t="s">
        <v>141</v>
      </c>
    </row>
    <row r="66" ht="24" customHeight="1" spans="1:8" x14ac:dyDescent="0.25">
      <c r="A66" s="11">
        <v>63</v>
      </c>
      <c r="B66" s="7" t="s">
        <v>16</v>
      </c>
      <c r="C66" s="7" t="s">
        <v>142</v>
      </c>
      <c r="D66" s="7" t="s">
        <v>38</v>
      </c>
      <c r="E66" s="9">
        <v>5000</v>
      </c>
      <c r="F66" s="9">
        <v>12000</v>
      </c>
      <c r="G66" s="9">
        <f>ROUND((E66+F66)/2,0)</f>
        <v>8500</v>
      </c>
      <c r="H66" s="7" t="s">
        <v>38</v>
      </c>
    </row>
    <row r="67" ht="24" customHeight="1" spans="1:8" x14ac:dyDescent="0.25">
      <c r="A67" s="11">
        <v>64</v>
      </c>
      <c r="B67" s="7" t="s">
        <v>16</v>
      </c>
      <c r="C67" s="7" t="s">
        <v>143</v>
      </c>
      <c r="D67" s="7" t="s">
        <v>38</v>
      </c>
      <c r="E67" s="9">
        <v>10000</v>
      </c>
      <c r="F67" s="9">
        <v>25000</v>
      </c>
      <c r="G67" s="9">
        <f>ROUND((E67+F67)/2,0)</f>
        <v>17500</v>
      </c>
      <c r="H67" s="7" t="s">
        <v>144</v>
      </c>
    </row>
    <row r="68" ht="24" customHeight="1" spans="1:8" x14ac:dyDescent="0.25">
      <c r="A68" s="11">
        <v>65</v>
      </c>
      <c r="B68" s="7" t="s">
        <v>16</v>
      </c>
      <c r="C68" s="7" t="s">
        <v>145</v>
      </c>
      <c r="D68" s="7" t="s">
        <v>38</v>
      </c>
      <c r="E68" s="9">
        <v>8000</v>
      </c>
      <c r="F68" s="9">
        <v>13555</v>
      </c>
      <c r="G68" s="9">
        <f>ROUND((E68+F68)/2,0)</f>
        <v>10778</v>
      </c>
      <c r="H68" s="7" t="s">
        <v>38</v>
      </c>
    </row>
    <row r="69" ht="24" customHeight="1" spans="1:8" x14ac:dyDescent="0.25">
      <c r="A69" s="11">
        <v>66</v>
      </c>
      <c r="B69" s="7" t="s">
        <v>16</v>
      </c>
      <c r="C69" s="7" t="s">
        <v>146</v>
      </c>
      <c r="D69" s="7" t="s">
        <v>38</v>
      </c>
      <c r="E69" s="9">
        <v>3000</v>
      </c>
      <c r="F69" s="9">
        <v>8000</v>
      </c>
      <c r="G69" s="9">
        <f>ROUND((E69+F69)/2,0)</f>
        <v>5500</v>
      </c>
      <c r="H69" s="7" t="s">
        <v>38</v>
      </c>
    </row>
    <row r="70" ht="24" customHeight="1" spans="1:8" x14ac:dyDescent="0.25">
      <c r="A70" s="11">
        <v>67</v>
      </c>
      <c r="B70" s="7" t="s">
        <v>16</v>
      </c>
      <c r="C70" s="7" t="s">
        <v>147</v>
      </c>
      <c r="D70" s="7" t="s">
        <v>38</v>
      </c>
      <c r="E70" s="9">
        <v>2090</v>
      </c>
      <c r="F70" s="9">
        <v>5000</v>
      </c>
      <c r="G70" s="9">
        <f>ROUND((E70+F70)/2,0)</f>
        <v>3545</v>
      </c>
      <c r="H70" s="7" t="s">
        <v>38</v>
      </c>
    </row>
    <row r="71" ht="24" customHeight="1" spans="1:8" x14ac:dyDescent="0.25">
      <c r="A71" s="11">
        <v>68</v>
      </c>
      <c r="B71" s="7" t="s">
        <v>16</v>
      </c>
      <c r="C71" s="7" t="s">
        <v>148</v>
      </c>
      <c r="D71" s="7" t="s">
        <v>38</v>
      </c>
      <c r="E71" s="9">
        <v>1500</v>
      </c>
      <c r="F71" s="9">
        <v>5000</v>
      </c>
      <c r="G71" s="9">
        <f>ROUND((E71+F71)/2,0)</f>
        <v>3250</v>
      </c>
      <c r="H71" s="7" t="s">
        <v>38</v>
      </c>
    </row>
    <row r="72" ht="24" customHeight="1" spans="1:8" x14ac:dyDescent="0.25">
      <c r="A72" s="11">
        <v>69</v>
      </c>
      <c r="B72" s="7" t="s">
        <v>16</v>
      </c>
      <c r="C72" s="7" t="s">
        <v>149</v>
      </c>
      <c r="D72" s="7" t="s">
        <v>38</v>
      </c>
      <c r="E72" s="9">
        <v>5000</v>
      </c>
      <c r="F72" s="9">
        <v>13555</v>
      </c>
      <c r="G72" s="9">
        <f>ROUND((E72+F72)/2,0)</f>
        <v>9278</v>
      </c>
      <c r="H72" s="7" t="s">
        <v>38</v>
      </c>
    </row>
    <row r="73" ht="24" customHeight="1" spans="1:8" x14ac:dyDescent="0.25">
      <c r="A73" s="11">
        <v>70</v>
      </c>
      <c r="B73" s="7" t="s">
        <v>16</v>
      </c>
      <c r="C73" s="7" t="s">
        <v>150</v>
      </c>
      <c r="D73" s="7" t="s">
        <v>38</v>
      </c>
      <c r="E73" s="9">
        <v>1500</v>
      </c>
      <c r="F73" s="9">
        <v>5000</v>
      </c>
      <c r="G73" s="9">
        <f>ROUND((E73+F73)/2,0)</f>
        <v>3250</v>
      </c>
      <c r="H73" s="7" t="s">
        <v>38</v>
      </c>
    </row>
    <row r="74" ht="24" customHeight="1" spans="1:8" x14ac:dyDescent="0.25">
      <c r="A74" s="11">
        <v>71</v>
      </c>
      <c r="B74" s="7" t="s">
        <v>16</v>
      </c>
      <c r="C74" s="7" t="s">
        <v>151</v>
      </c>
      <c r="D74" s="7" t="s">
        <v>38</v>
      </c>
      <c r="E74" s="9">
        <v>1000</v>
      </c>
      <c r="F74" s="9">
        <v>4000</v>
      </c>
      <c r="G74" s="9">
        <f>ROUND((E74+F74)/2,0)</f>
        <v>2500</v>
      </c>
      <c r="H74" s="7" t="s">
        <v>38</v>
      </c>
    </row>
    <row r="75" ht="24" customHeight="1" spans="1:8" x14ac:dyDescent="0.25">
      <c r="A75" s="11">
        <v>72</v>
      </c>
      <c r="B75" s="7" t="s">
        <v>17</v>
      </c>
      <c r="C75" s="7" t="s">
        <v>152</v>
      </c>
      <c r="D75" s="7" t="s">
        <v>153</v>
      </c>
      <c r="E75" s="9">
        <v>4000</v>
      </c>
      <c r="F75" s="9">
        <v>10000</v>
      </c>
      <c r="G75" s="9">
        <f>ROUND((E75+F75)/2,0)</f>
        <v>7000</v>
      </c>
      <c r="H75" s="7" t="s">
        <v>154</v>
      </c>
    </row>
    <row r="76" ht="24" customHeight="1" spans="1:8" x14ac:dyDescent="0.25">
      <c r="A76" s="11">
        <v>73</v>
      </c>
      <c r="B76" s="7" t="s">
        <v>17</v>
      </c>
      <c r="C76" s="7" t="s">
        <v>155</v>
      </c>
      <c r="D76" s="7" t="s">
        <v>38</v>
      </c>
      <c r="E76" s="9">
        <v>3000</v>
      </c>
      <c r="F76" s="9">
        <v>12000</v>
      </c>
      <c r="G76" s="9">
        <f>ROUND((E76+F76)/2,0)</f>
        <v>7500</v>
      </c>
      <c r="H76" s="7" t="s">
        <v>38</v>
      </c>
    </row>
    <row r="77" ht="24" customHeight="1" spans="1:8" x14ac:dyDescent="0.25">
      <c r="A77" s="11">
        <v>74</v>
      </c>
      <c r="B77" s="7" t="s">
        <v>17</v>
      </c>
      <c r="C77" s="7" t="s">
        <v>156</v>
      </c>
      <c r="D77" s="7" t="s">
        <v>38</v>
      </c>
      <c r="E77" s="9">
        <v>2000</v>
      </c>
      <c r="F77" s="9">
        <v>7000</v>
      </c>
      <c r="G77" s="9">
        <f>ROUND((E77+F77)/2,0)</f>
        <v>4500</v>
      </c>
      <c r="H77" s="7" t="s">
        <v>38</v>
      </c>
    </row>
    <row r="78" ht="24" customHeight="1" spans="1:8" x14ac:dyDescent="0.25">
      <c r="A78" s="11">
        <v>75</v>
      </c>
      <c r="B78" s="7" t="s">
        <v>17</v>
      </c>
      <c r="C78" s="7" t="s">
        <v>157</v>
      </c>
      <c r="D78" s="7" t="s">
        <v>38</v>
      </c>
      <c r="E78" s="9">
        <v>1000</v>
      </c>
      <c r="F78" s="9">
        <v>3000</v>
      </c>
      <c r="G78" s="9">
        <f>ROUND((E78+F78)/2,0)</f>
        <v>2000</v>
      </c>
      <c r="H78" s="7" t="s">
        <v>38</v>
      </c>
    </row>
    <row r="79" ht="24" customHeight="1" spans="1:8" x14ac:dyDescent="0.25">
      <c r="A79" s="11">
        <v>76</v>
      </c>
      <c r="B79" s="7" t="s">
        <v>17</v>
      </c>
      <c r="C79" s="7" t="s">
        <v>158</v>
      </c>
      <c r="D79" s="7" t="s">
        <v>159</v>
      </c>
      <c r="E79" s="9">
        <v>1500</v>
      </c>
      <c r="F79" s="9">
        <v>6000</v>
      </c>
      <c r="G79" s="9">
        <f>ROUND((E79+F79)/2,0)</f>
        <v>3750</v>
      </c>
      <c r="H79" s="7" t="s">
        <v>38</v>
      </c>
    </row>
    <row r="80" ht="24" customHeight="1" spans="1:8" x14ac:dyDescent="0.25">
      <c r="A80" s="11">
        <v>77</v>
      </c>
      <c r="B80" s="7" t="s">
        <v>17</v>
      </c>
      <c r="C80" s="7" t="s">
        <v>160</v>
      </c>
      <c r="D80" s="7" t="s">
        <v>38</v>
      </c>
      <c r="E80" s="9">
        <v>2000</v>
      </c>
      <c r="F80" s="9">
        <v>5865</v>
      </c>
      <c r="G80" s="9">
        <f>ROUND((E80+F80)/2,0)</f>
        <v>3933</v>
      </c>
      <c r="H80" s="7" t="s">
        <v>38</v>
      </c>
    </row>
    <row r="81" ht="24" customHeight="1" spans="1:8" x14ac:dyDescent="0.25">
      <c r="A81" s="11">
        <v>78</v>
      </c>
      <c r="B81" s="7" t="s">
        <v>17</v>
      </c>
      <c r="C81" s="7" t="s">
        <v>161</v>
      </c>
      <c r="D81" s="7" t="s">
        <v>38</v>
      </c>
      <c r="E81" s="9">
        <v>1500</v>
      </c>
      <c r="F81" s="9">
        <v>4000</v>
      </c>
      <c r="G81" s="9">
        <f>ROUND((E81+F81)/2,0)</f>
        <v>2750</v>
      </c>
      <c r="H81" s="7" t="s">
        <v>162</v>
      </c>
    </row>
    <row r="82" ht="24" customHeight="1" spans="1:8" x14ac:dyDescent="0.25">
      <c r="A82" s="11">
        <v>79</v>
      </c>
      <c r="B82" s="7" t="s">
        <v>17</v>
      </c>
      <c r="C82" s="7" t="s">
        <v>163</v>
      </c>
      <c r="D82" s="7" t="s">
        <v>38</v>
      </c>
      <c r="E82" s="9">
        <v>1500</v>
      </c>
      <c r="F82" s="9">
        <v>5000</v>
      </c>
      <c r="G82" s="9">
        <f>ROUND((E82+F82)/2,0)</f>
        <v>3250</v>
      </c>
      <c r="H82" s="7" t="s">
        <v>164</v>
      </c>
    </row>
    <row r="83" ht="24" customHeight="1" spans="1:8" x14ac:dyDescent="0.25">
      <c r="A83" s="11">
        <v>80</v>
      </c>
      <c r="B83" s="7" t="s">
        <v>17</v>
      </c>
      <c r="C83" s="7" t="s">
        <v>165</v>
      </c>
      <c r="D83" s="7" t="s">
        <v>38</v>
      </c>
      <c r="E83" s="9">
        <v>500</v>
      </c>
      <c r="F83" s="9">
        <v>1500</v>
      </c>
      <c r="G83" s="9">
        <f>ROUND((E83+F83)/2,0)</f>
        <v>1000</v>
      </c>
      <c r="H83" s="7" t="s">
        <v>54</v>
      </c>
    </row>
    <row r="84" ht="24" customHeight="1" spans="1:8" x14ac:dyDescent="0.25">
      <c r="A84" s="11">
        <v>81</v>
      </c>
      <c r="B84" s="7" t="s">
        <v>17</v>
      </c>
      <c r="C84" s="7" t="s">
        <v>166</v>
      </c>
      <c r="D84" s="7" t="s">
        <v>38</v>
      </c>
      <c r="E84" s="9">
        <v>3000</v>
      </c>
      <c r="F84" s="9">
        <v>5626</v>
      </c>
      <c r="G84" s="9">
        <f>ROUND((E84+F84)/2,0)</f>
        <v>4313</v>
      </c>
      <c r="H84" s="7" t="s">
        <v>38</v>
      </c>
    </row>
    <row r="85" ht="24" customHeight="1" spans="1:8" x14ac:dyDescent="0.25">
      <c r="A85" s="11">
        <v>82</v>
      </c>
      <c r="B85" s="7" t="s">
        <v>17</v>
      </c>
      <c r="C85" s="7" t="s">
        <v>167</v>
      </c>
      <c r="D85" s="7" t="s">
        <v>38</v>
      </c>
      <c r="E85" s="9">
        <v>3000</v>
      </c>
      <c r="F85" s="9">
        <v>15000</v>
      </c>
      <c r="G85" s="9">
        <f>ROUND((E85+F85)/2,0)</f>
        <v>9000</v>
      </c>
      <c r="H85" s="7" t="s">
        <v>168</v>
      </c>
    </row>
    <row r="86" ht="24" customHeight="1" spans="1:8" x14ac:dyDescent="0.25">
      <c r="A86" s="11">
        <v>83</v>
      </c>
      <c r="B86" s="7" t="s">
        <v>17</v>
      </c>
      <c r="C86" s="7" t="s">
        <v>169</v>
      </c>
      <c r="D86" s="7" t="s">
        <v>38</v>
      </c>
      <c r="E86" s="9">
        <v>2000</v>
      </c>
      <c r="F86" s="9">
        <v>5000</v>
      </c>
      <c r="G86" s="9">
        <f>ROUND((E86+F86)/2,0)</f>
        <v>3500</v>
      </c>
      <c r="H86" s="7" t="s">
        <v>38</v>
      </c>
    </row>
    <row r="87" ht="24" customHeight="1" spans="1:8" x14ac:dyDescent="0.25">
      <c r="A87" s="11">
        <v>84</v>
      </c>
      <c r="B87" s="7" t="s">
        <v>18</v>
      </c>
      <c r="C87" s="7" t="s">
        <v>170</v>
      </c>
      <c r="D87" s="7" t="s">
        <v>38</v>
      </c>
      <c r="E87" s="9">
        <v>8000</v>
      </c>
      <c r="F87" s="9">
        <v>12000</v>
      </c>
      <c r="G87" s="9">
        <f>ROUND((E87+F87)/2,0)</f>
        <v>10000</v>
      </c>
      <c r="H87" s="7" t="s">
        <v>38</v>
      </c>
    </row>
    <row r="88" ht="24" customHeight="1" spans="1:8" x14ac:dyDescent="0.25">
      <c r="A88" s="11">
        <v>85</v>
      </c>
      <c r="B88" s="7" t="s">
        <v>18</v>
      </c>
      <c r="C88" s="7" t="s">
        <v>171</v>
      </c>
      <c r="D88" s="7" t="s">
        <v>38</v>
      </c>
      <c r="E88" s="9">
        <v>15000</v>
      </c>
      <c r="F88" s="9">
        <v>25000</v>
      </c>
      <c r="G88" s="9">
        <f>ROUND((E88+F88)/2,0)</f>
        <v>20000</v>
      </c>
      <c r="H88" s="7" t="s">
        <v>172</v>
      </c>
    </row>
    <row r="89" ht="24" customHeight="1" spans="1:8" x14ac:dyDescent="0.25">
      <c r="A89" s="11">
        <v>86</v>
      </c>
      <c r="B89" s="7" t="s">
        <v>18</v>
      </c>
      <c r="C89" s="7" t="s">
        <v>173</v>
      </c>
      <c r="D89" s="7" t="s">
        <v>38</v>
      </c>
      <c r="E89" s="9">
        <v>4000</v>
      </c>
      <c r="F89" s="9">
        <v>15000</v>
      </c>
      <c r="G89" s="9">
        <f>ROUND((E89+F89)/2,0)</f>
        <v>9500</v>
      </c>
      <c r="H89" s="7" t="s">
        <v>174</v>
      </c>
    </row>
    <row r="90" ht="24" customHeight="1" spans="1:8" x14ac:dyDescent="0.25">
      <c r="A90" s="11">
        <v>87</v>
      </c>
      <c r="B90" s="7" t="s">
        <v>18</v>
      </c>
      <c r="C90" s="7" t="s">
        <v>175</v>
      </c>
      <c r="D90" s="7" t="s">
        <v>38</v>
      </c>
      <c r="E90" s="9">
        <v>1785</v>
      </c>
      <c r="F90" s="9">
        <v>6000</v>
      </c>
      <c r="G90" s="9">
        <f>ROUND((E90+F90)/2,0)</f>
        <v>3893</v>
      </c>
      <c r="H90" s="7" t="s">
        <v>176</v>
      </c>
    </row>
    <row r="91" ht="24" customHeight="1" spans="1:8" x14ac:dyDescent="0.25">
      <c r="A91" s="11">
        <v>88</v>
      </c>
      <c r="B91" s="7" t="s">
        <v>18</v>
      </c>
      <c r="C91" s="7" t="s">
        <v>177</v>
      </c>
      <c r="D91" s="7" t="s">
        <v>38</v>
      </c>
      <c r="E91" s="9">
        <v>3000</v>
      </c>
      <c r="F91" s="9">
        <v>16216</v>
      </c>
      <c r="G91" s="9">
        <f>ROUND((E91+F91)/2,0)</f>
        <v>9608</v>
      </c>
      <c r="H91" s="7" t="s">
        <v>38</v>
      </c>
    </row>
    <row r="92" ht="24" customHeight="1" spans="1:8" x14ac:dyDescent="0.25">
      <c r="A92" s="11">
        <v>89</v>
      </c>
      <c r="B92" s="7" t="s">
        <v>18</v>
      </c>
      <c r="C92" s="7" t="s">
        <v>178</v>
      </c>
      <c r="D92" s="7" t="s">
        <v>38</v>
      </c>
      <c r="E92" s="9">
        <v>3000</v>
      </c>
      <c r="F92" s="9">
        <v>10000</v>
      </c>
      <c r="G92" s="9">
        <f>ROUND((E92+F92)/2,0)</f>
        <v>6500</v>
      </c>
      <c r="H92" s="7" t="s">
        <v>179</v>
      </c>
    </row>
    <row r="93" ht="24" customHeight="1" spans="1:8" x14ac:dyDescent="0.25">
      <c r="A93" s="11">
        <v>90</v>
      </c>
      <c r="B93" s="7" t="s">
        <v>18</v>
      </c>
      <c r="C93" s="7" t="s">
        <v>180</v>
      </c>
      <c r="D93" s="7" t="s">
        <v>38</v>
      </c>
      <c r="E93" s="9">
        <v>3000</v>
      </c>
      <c r="F93" s="9">
        <v>12000</v>
      </c>
      <c r="G93" s="9">
        <f>ROUND((E93+F93)/2,0)</f>
        <v>7500</v>
      </c>
      <c r="H93" s="7" t="s">
        <v>181</v>
      </c>
    </row>
    <row r="94" ht="24" customHeight="1" spans="1:8" x14ac:dyDescent="0.25">
      <c r="A94" s="11">
        <v>91</v>
      </c>
      <c r="B94" s="7" t="s">
        <v>18</v>
      </c>
      <c r="C94" s="7" t="s">
        <v>182</v>
      </c>
      <c r="D94" s="7" t="s">
        <v>38</v>
      </c>
      <c r="E94" s="9">
        <v>1500</v>
      </c>
      <c r="F94" s="9">
        <v>4000</v>
      </c>
      <c r="G94" s="9">
        <f>ROUND((E94+F94)/2,0)</f>
        <v>2750</v>
      </c>
      <c r="H94" s="7" t="s">
        <v>38</v>
      </c>
    </row>
    <row r="95" ht="24" customHeight="1" spans="1:8" x14ac:dyDescent="0.25">
      <c r="A95" s="11">
        <v>92</v>
      </c>
      <c r="B95" s="7" t="s">
        <v>18</v>
      </c>
      <c r="C95" s="7" t="s">
        <v>183</v>
      </c>
      <c r="D95" s="7" t="s">
        <v>38</v>
      </c>
      <c r="E95" s="9">
        <v>3000</v>
      </c>
      <c r="F95" s="9">
        <v>8000</v>
      </c>
      <c r="G95" s="9">
        <f>ROUND((E95+F95)/2,0)</f>
        <v>5500</v>
      </c>
      <c r="H95" s="7" t="s">
        <v>38</v>
      </c>
    </row>
    <row r="96" ht="24" customHeight="1" spans="1:8" x14ac:dyDescent="0.25">
      <c r="A96" s="11">
        <v>93</v>
      </c>
      <c r="B96" s="7" t="s">
        <v>18</v>
      </c>
      <c r="C96" s="7" t="s">
        <v>184</v>
      </c>
      <c r="D96" s="7" t="s">
        <v>185</v>
      </c>
      <c r="E96" s="9">
        <v>1500</v>
      </c>
      <c r="F96" s="9">
        <v>3000</v>
      </c>
      <c r="G96" s="9">
        <f>ROUND((E96+F96)/2,0)</f>
        <v>2250</v>
      </c>
      <c r="H96" s="7" t="s">
        <v>38</v>
      </c>
    </row>
  </sheetData>
  <autoFilter ref="A3:H96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 zoomScale="100" zoomScaleNormal="100"/>
  </sheetViews>
  <sheetFormatPr defaultRowHeight="15" outlineLevelRow="0" outlineLevelCol="0" x14ac:dyDescent="55"/>
  <cols>
    <col min="1" max="1" width="34" customWidth="1"/>
    <col min="2" max="2" width="42" customWidth="1"/>
    <col min="3" max="3" width="30" customWidth="1"/>
    <col min="4" max="4" width="42" customWidth="1"/>
  </cols>
  <sheetData>
    <row r="1" ht="28" customHeight="1" spans="1:4" x14ac:dyDescent="0.25">
      <c r="A1" s="1" t="s">
        <v>186</v>
      </c>
      <c r="B1" s="1"/>
      <c r="C1" s="1"/>
      <c r="D1" s="1"/>
    </row>
    <row r="2" ht="32" customHeight="1" spans="1:4" x14ac:dyDescent="0.25">
      <c r="A2" s="2" t="s">
        <v>187</v>
      </c>
      <c r="B2" s="2"/>
      <c r="C2" s="2"/>
      <c r="D2" s="2"/>
    </row>
    <row r="3" spans="1:4" x14ac:dyDescent="0.25">
      <c r="A3" s="6" t="s">
        <v>188</v>
      </c>
      <c r="B3" s="6" t="s">
        <v>189</v>
      </c>
      <c r="C3" s="6" t="s">
        <v>190</v>
      </c>
      <c r="D3" s="6" t="s">
        <v>30</v>
      </c>
    </row>
    <row r="4" spans="1:4" x14ac:dyDescent="0.25">
      <c r="A4" s="7" t="s">
        <v>191</v>
      </c>
      <c r="B4" s="13" t="s">
        <v>192</v>
      </c>
      <c r="C4" s="7" t="s">
        <v>193</v>
      </c>
      <c r="D4" s="7" t="s">
        <v>194</v>
      </c>
    </row>
    <row r="5" spans="1:4" x14ac:dyDescent="0.25">
      <c r="A5" s="7" t="s">
        <v>195</v>
      </c>
      <c r="B5" s="13" t="s">
        <v>196</v>
      </c>
      <c r="C5" s="7" t="s">
        <v>197</v>
      </c>
      <c r="D5" s="7" t="s">
        <v>198</v>
      </c>
    </row>
    <row r="6" spans="1:4" x14ac:dyDescent="0.25">
      <c r="A6" s="7" t="s">
        <v>199</v>
      </c>
      <c r="B6" s="13" t="s">
        <v>200</v>
      </c>
      <c r="C6" s="7" t="s">
        <v>193</v>
      </c>
      <c r="D6" s="7" t="s">
        <v>201</v>
      </c>
    </row>
    <row r="7" spans="1:4" x14ac:dyDescent="0.25">
      <c r="A7" s="7" t="s">
        <v>202</v>
      </c>
      <c r="B7" s="13" t="s">
        <v>203</v>
      </c>
      <c r="C7" s="7" t="s">
        <v>204</v>
      </c>
      <c r="D7" s="7" t="s">
        <v>205</v>
      </c>
    </row>
    <row r="8" spans="1:4" x14ac:dyDescent="0.25">
      <c r="A8" s="7" t="s">
        <v>206</v>
      </c>
      <c r="B8" s="13" t="s">
        <v>207</v>
      </c>
      <c r="C8" s="7" t="s">
        <v>204</v>
      </c>
      <c r="D8" s="7" t="s">
        <v>208</v>
      </c>
    </row>
    <row r="9" spans="1:4" x14ac:dyDescent="0.25">
      <c r="A9" s="7" t="s">
        <v>209</v>
      </c>
      <c r="B9" s="13" t="s">
        <v>210</v>
      </c>
      <c r="C9" s="7" t="s">
        <v>211</v>
      </c>
      <c r="D9" s="7" t="s">
        <v>212</v>
      </c>
    </row>
    <row r="10" spans="1:4" x14ac:dyDescent="0.25">
      <c r="A10" s="7" t="s">
        <v>213</v>
      </c>
      <c r="B10" s="13" t="s">
        <v>214</v>
      </c>
      <c r="C10" s="7" t="s">
        <v>204</v>
      </c>
      <c r="D10" s="7" t="s">
        <v>215</v>
      </c>
    </row>
    <row r="11" spans="1:4" x14ac:dyDescent="0.25">
      <c r="A11" s="7" t="s">
        <v>216</v>
      </c>
      <c r="B11" s="13" t="s">
        <v>217</v>
      </c>
      <c r="C11" s="7" t="s">
        <v>218</v>
      </c>
      <c r="D11" s="7" t="s">
        <v>219</v>
      </c>
    </row>
    <row r="12" spans="1:4" x14ac:dyDescent="0.25">
      <c r="A12" s="7" t="s">
        <v>220</v>
      </c>
      <c r="B12" s="13" t="s">
        <v>221</v>
      </c>
      <c r="C12" s="7" t="s">
        <v>222</v>
      </c>
      <c r="D12" s="7" t="s">
        <v>223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70" customWidth="1"/>
  </cols>
  <sheetData>
    <row r="1" spans="1:1" x14ac:dyDescent="0.25">
      <c r="A1" s="14" t="s">
        <v>224</v>
      </c>
    </row>
    <row r="2" spans="1:1" x14ac:dyDescent="0.25">
      <c r="A2" s="15" t="s">
        <v>225</v>
      </c>
    </row>
    <row r="4" spans="1:1" x14ac:dyDescent="0.25">
      <c r="A4" s="16" t="s">
        <v>226</v>
      </c>
    </row>
    <row r="6" spans="1:1" x14ac:dyDescent="0.25">
      <c r="A6" s="5" t="s">
        <v>227</v>
      </c>
    </row>
    <row r="7" spans="1:1" x14ac:dyDescent="0.25">
      <c r="A7" s="17" t="s">
        <v>228</v>
      </c>
    </row>
    <row r="8" spans="1:1" x14ac:dyDescent="0.25">
      <c r="A8" s="17" t="s">
        <v>229</v>
      </c>
    </row>
    <row r="9" spans="1:1" x14ac:dyDescent="0.25">
      <c r="A9" s="17" t="s">
        <v>230</v>
      </c>
    </row>
    <row r="11" spans="1:1" x14ac:dyDescent="0.25">
      <c r="A11" s="18" t="s">
        <v>231</v>
      </c>
    </row>
  </sheetData>
  <hyperlinks>
    <hyperlink ref="A4" r:id="rId1"/>
    <hyperlink ref="A7" r:id="rId2"/>
    <hyperlink ref="A8" r:id="rId3"/>
    <hyperlink ref="A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Дашборд</vt:lpstr>
      <vt:lpstr>Прайс</vt:lpstr>
      <vt:lpstr>Источники</vt:lpstr>
      <vt:lpstr>О прайсе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2026-09-23T21:17:02Z</dcterms:created>
  <dcterms:modified xsi:type="dcterms:W3CDTF">2026-09-23T21:17:02Z</dcterms:modified>
</cp:coreProperties>
</file>