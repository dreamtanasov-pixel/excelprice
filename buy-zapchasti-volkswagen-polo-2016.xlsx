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<sst xmlns="http://schemas.openxmlformats.org/spreadsheetml/2006/main" count="131" uniqueCount="72">
  <si>
    <t>БУ-запчасти Volkswagen Polo Sedan (1.6 CWVA)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</si>
  <si>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</si>
  <si>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</si>
  <si>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</si>
  <si>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</si>
  <si>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</si>
  <si>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</si>
  <si>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</si>
  <si>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</si>
  <si>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</si>
  <si>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</si>
  <si>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</si>
  <si>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</si>
  <si>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</si>
  <si>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</si>
  <si>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</si>
  <si>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</si>
  <si>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</si>
  <si>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</si>
  <si>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</si>
  <si>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</si>
  <si>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</si>
  <si>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iZAP24 (европейский склад, без доставки), Авито. Дром закрыт антиботом.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</si>
  <si>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</si>
  <si>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</si>
  <si>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</si>
  <si>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</si>
  <si>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</si>
  <si>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</si>
  <si>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</si>
  <si>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</si>
  <si>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</si>
  <si>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Бампер передний (рестайлинг)</t>
  </si>
  <si>
    <t>6RU807221A</t>
  </si>
  <si>
    <t>iZAP24: лоты 3966–7161 ₽, склад РФ</t>
  </si>
  <si>
    <t>Дроссельная заслонка</t>
  </si>
  <si>
    <t>03C128063B</t>
  </si>
  <si>
    <t>Авито, Москва</t>
  </si>
  <si>
    <t>Ветровик / дефлектор</t>
  </si>
  <si>
    <t>6R0819728BFHXU</t>
  </si>
  <si>
    <t>База Дром (сниппет)</t>
  </si>
  <si>
    <t>Двигатель в сборе (контракт)</t>
  </si>
  <si>
    <t>CWVA</t>
  </si>
  <si>
    <t>—</t>
  </si>
  <si>
    <t>Цена не подтверждена открытыми источниками (Дром закрыт)</t>
  </si>
  <si>
    <t>АКПП AQ250</t>
  </si>
  <si>
    <t>09G</t>
  </si>
  <si>
    <t>Цена не подтверждена</t>
  </si>
  <si>
    <t>Рулевая рейка</t>
  </si>
  <si>
    <t/>
  </si>
  <si>
    <t>Предложения есть, цена скрыта</t>
  </si>
  <si>
    <t>Суппорт задний</t>
  </si>
  <si>
    <t>Авито — цена в лоте скрыта</t>
  </si>
  <si>
    <t>Фара передняя</t>
  </si>
  <si>
    <t>6RU941003</t>
  </si>
  <si>
    <t>Панель приборов</t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</si>
  <si>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</si>
  <si>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</si>
  <si>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</si>
  <si>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</si>
  <si>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</si>
  <si>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</si>
  <si>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</si>
  <si>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</si>
  <si>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Авито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</si>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</sst>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vw%20polo%20%D0%91%D0%B0%D0%BC%D0%BF%D0%B5%D1%80%20%D0%BF%D0%B5%D1%80%D0%B5%D0%B4%D0%BD%D0%B8%D0%B9%20(%D1%80%D0%B5%D1%81%D1%82%D0%B0%D0%B9%D0%BB%D0%B8%D0%BD%D0%B3)%20%D0%B1%D1%83" TargetMode="External"/><Relationship Id="rId2" Type="http://schemas.openxmlformats.org/officeDocument/2006/relationships/hyperlink" Target="https://baza.drom.ru/sell_spare_parts/+/vw%20polo%20%D0%91%D0%B0%D0%BC%D0%BF%D0%B5%D1%80%20%D0%BF%D0%B5%D1%80%D0%B5%D0%B4%D0%BD%D0%B8%D0%B9%20(%D1%80%D0%B5%D1%81%D1%82%D0%B0%D0%B9%D0%BB%D0%B8%D0%BD%D0%B3)%20%D0%B1%D1%83/" TargetMode="External"/><Relationship Id="rId3" Type="http://schemas.openxmlformats.org/officeDocument/2006/relationships/hyperlink" Target="https://www.avito.ru/all/zapchasti_i_aksessuary?q=vw%20polo%20%D0%94%D1%80%D0%BE%D1%81%D1%81%D0%B5%D0%BB%D1%8C%D0%BD%D0%B0%D1%8F%20%D0%B7%D0%B0%D1%81%D0%BB%D0%BE%D0%BD%D0%BA%D0%B0%20%D0%B1%D1%83" TargetMode="External"/><Relationship Id="rId4" Type="http://schemas.openxmlformats.org/officeDocument/2006/relationships/hyperlink" Target="https://baza.drom.ru/sell_spare_parts/+/vw%20polo%20%D0%94%D1%80%D0%BE%D1%81%D1%81%D0%B5%D0%BB%D1%8C%D0%BD%D0%B0%D1%8F%20%D0%B7%D0%B0%D1%81%D0%BB%D0%BE%D0%BD%D0%BA%D0%B0%20%D0%B1%D1%83/" TargetMode="External"/><Relationship Id="rId5" Type="http://schemas.openxmlformats.org/officeDocument/2006/relationships/hyperlink" Target="https://www.avito.ru/all/zapchasti_i_aksessuary?q=vw%20polo%20%D0%92%D0%B5%D1%82%D1%80%D0%BE%D0%B2%D0%B8%D0%BA%20%2F%20%D0%B4%D0%B5%D1%84%D0%BB%D0%B5%D0%BA%D1%82%D0%BE%D1%80%20%D0%B1%D1%83" TargetMode="External"/><Relationship Id="rId6" Type="http://schemas.openxmlformats.org/officeDocument/2006/relationships/hyperlink" Target="https://baza.drom.ru/sell_spare_parts/+/vw%20polo%20%D0%92%D0%B5%D1%82%D1%80%D0%BE%D0%B2%D0%B8%D0%BA%20%2F%20%D0%B4%D0%B5%D1%84%D0%BB%D0%B5%D0%BA%D1%82%D0%BE%D1%80%20%D0%B1%D1%83/" TargetMode="External"/><Relationship Id="rId7" Type="http://schemas.openxmlformats.org/officeDocument/2006/relationships/hyperlink" Target="https://www.avito.ru/all/zapchasti_i_aksessuary?q=vw%20polo%20%D0%94%D0%B2%D0%B8%D0%B3%D0%B0%D1%82%D0%B5%D0%BB%D1%8C%20%D0%B2%20%D1%81%D0%B1%D0%BE%D1%80%D0%B5%20(%D0%BA%D0%BE%D0%BD%D1%82%D1%80%D0%B0%D0%BA%D1%82)%20%D0%B1%D1%83" TargetMode="External"/><Relationship Id="rId8" Type="http://schemas.openxmlformats.org/officeDocument/2006/relationships/hyperlink" Target="https://baza.drom.ru/sell_spare_parts/+/vw%20polo%20%D0%94%D0%B2%D0%B8%D0%B3%D0%B0%D1%82%D0%B5%D0%BB%D1%8C%20%D0%B2%20%D1%81%D0%B1%D0%BE%D1%80%D0%B5%20(%D0%BA%D0%BE%D0%BD%D1%82%D1%80%D0%B0%D0%BA%D1%82)%20%D0%B1%D1%83/" TargetMode="External"/><Relationship Id="rId9" Type="http://schemas.openxmlformats.org/officeDocument/2006/relationships/hyperlink" Target="https://www.avito.ru/all/zapchasti_i_aksessuary?q=vw%20polo%20%D0%90%D0%9A%D0%9F%D0%9F%20AQ250%20%D0%B1%D1%83" TargetMode="External"/><Relationship Id="rId10" Type="http://schemas.openxmlformats.org/officeDocument/2006/relationships/hyperlink" Target="https://baza.drom.ru/sell_spare_parts/+/vw%20polo%20%D0%90%D0%9A%D0%9F%D0%9F%20AQ250%20%D0%B1%D1%83/" TargetMode="External"/><Relationship Id="rId11" Type="http://schemas.openxmlformats.org/officeDocument/2006/relationships/hyperlink" Target="https://www.avito.ru/all/zapchasti_i_aksessuary?q=vw%20polo%20%D0%A0%D1%83%D0%BB%D0%B5%D0%B2%D0%B0%D1%8F%20%D1%80%D0%B5%D0%B9%D0%BA%D0%B0%20%D0%B1%D1%83" TargetMode="External"/><Relationship Id="rId12" Type="http://schemas.openxmlformats.org/officeDocument/2006/relationships/hyperlink" Target="https://baza.drom.ru/sell_spare_parts/+/vw%20polo%20%D0%A0%D1%83%D0%BB%D0%B5%D0%B2%D0%B0%D1%8F%20%D1%80%D0%B5%D0%B9%D0%BA%D0%B0%20%D0%B1%D1%83/" TargetMode="External"/><Relationship Id="rId13" Type="http://schemas.openxmlformats.org/officeDocument/2006/relationships/hyperlink" Target="https://www.avito.ru/all/zapchasti_i_aksessuary?q=vw%20polo%20%D0%A1%D1%83%D0%BF%D0%BF%D0%BE%D1%80%D1%82%20%D0%B7%D0%B0%D0%B4%D0%BD%D0%B8%D0%B9%20%D0%B1%D1%83" TargetMode="External"/><Relationship Id="rId14" Type="http://schemas.openxmlformats.org/officeDocument/2006/relationships/hyperlink" Target="https://baza.drom.ru/sell_spare_parts/+/vw%20polo%20%D0%A1%D1%83%D0%BF%D0%BF%D0%BE%D1%80%D1%82%20%D0%B7%D0%B0%D0%B4%D0%BD%D0%B8%D0%B9%20%D0%B1%D1%83/" TargetMode="External"/><Relationship Id="rId15" Type="http://schemas.openxmlformats.org/officeDocument/2006/relationships/hyperlink" Target="https://www.avito.ru/all/zapchasti_i_aksessuary?q=vw%20polo%20%D0%A4%D0%B0%D1%80%D0%B0%20%D0%BF%D0%B5%D1%80%D0%B5%D0%B4%D0%BD%D1%8F%D1%8F%20%D0%B1%D1%83" TargetMode="External"/><Relationship Id="rId16" Type="http://schemas.openxmlformats.org/officeDocument/2006/relationships/hyperlink" Target="https://baza.drom.ru/sell_spare_parts/+/vw%20polo%20%D0%A4%D0%B0%D1%80%D0%B0%20%D0%BF%D0%B5%D1%80%D0%B5%D0%B4%D0%BD%D1%8F%D1%8F%20%D0%B1%D1%83/" TargetMode="External"/><Relationship Id="rId17" Type="http://schemas.openxmlformats.org/officeDocument/2006/relationships/hyperlink" Target="https://www.avito.ru/all/zapchasti_i_aksessuary?q=vw%20polo%20%D0%9F%D0%B0%D0%BD%D0%B5%D0%BB%D1%8C%20%D0%BF%D1%80%D0%B8%D0%B1%D0%BE%D1%80%D0%BE%D0%B2%20%D0%B1%D1%83" TargetMode="External"/><Relationship Id="rId18" Type="http://schemas.openxmlformats.org/officeDocument/2006/relationships/hyperlink" Target="https://baza.drom.ru/sell_spare_parts/+/vw%20polo%20%D0%9F%D0%B0%D0%BD%D0%B5%D0%BB%D1%8C%20%D0%BF%D1%80%D0%B8%D0%B1%D0%BE%D1%80%D0%BE%D0%B2%20%D0%B1%D1%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COUNTA('Прайс'!$C$4:$C$12)</f>
        <v>9</v>
      </c>
      <c r="C4" s="4">
        <f>COUNTA('Дашборд'!$B$9:$B$15)</f>
        <v>7</v>
      </c>
      <c r="E4" s="4">
        <f>COUNT('Прайс'!$E$4:$E$12)</f>
        <v>3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COUNTIF('Прайс'!$B$4:$B$12,A10)</f>
        <v>2</v>
      </c>
      <c r="C10" s="9">
        <f>AVERAGEIF('Прайс'!$B$4:$B$12,A10,'Прайс'!$E$4:$E$12)</f>
        <v>7000</v>
      </c>
      <c r="D10" s="9">
        <f>AVERAGEIF('Прайс'!$B$4:$B$12,A10,'Прайс'!$F$4:$F$12)</f>
        <v>7000</v>
      </c>
      <c r="E10" s="9">
        <f>ROUND((C10+D10)/2,0)</f>
        <v>7000</v>
      </c>
      <c r="F10" s="9">
        <f>D10-C10</f>
        <v>0</v>
      </c>
    </row>
    <row r="11" spans="1:6" x14ac:dyDescent="0.25">
      <c r="A11" s="7" t="s">
        <v>13</v>
      </c>
      <c r="B11" s="8">
        <f>COUNTIF('Прайс'!$B$4:$B$12,A11)</f>
        <v>1</v>
      </c>
      <c r="C11" s="9">
        <f>AVERAGEIF('Прайс'!$B$4:$B$12,A11,'Прайс'!$E$4:$E$12)</f>
        <v>0</v>
      </c>
      <c r="D11" s="9">
        <f>AVERAGEIF('Прайс'!$B$4:$B$12,A11,'Прайс'!$F$4:$F$12)</f>
        <v>0</v>
      </c>
      <c r="E11" s="9">
        <f>ROUND((C11+D11)/2,0)</f>
        <v>0</v>
      </c>
      <c r="F11" s="9">
        <f>D11-C11</f>
        <v>0</v>
      </c>
    </row>
    <row r="12" spans="1:6" x14ac:dyDescent="0.25">
      <c r="A12" s="7" t="s">
        <v>14</v>
      </c>
      <c r="B12" s="8">
        <f>COUNTIF('Прайс'!$B$4:$B$12,A12)</f>
        <v>1</v>
      </c>
      <c r="C12" s="9">
        <f>AVERAGEIF('Прайс'!$B$4:$B$12,A12,'Прайс'!$E$4:$E$12)</f>
        <v>0</v>
      </c>
      <c r="D12" s="9">
        <f>AVERAGEIF('Прайс'!$B$4:$B$12,A12,'Прайс'!$F$4:$F$12)</f>
        <v>0</v>
      </c>
      <c r="E12" s="9">
        <f>ROUND((C12+D12)/2,0)</f>
        <v>0</v>
      </c>
      <c r="F12" s="9">
        <f>D12-C12</f>
        <v>0</v>
      </c>
    </row>
    <row r="13" spans="1:6" x14ac:dyDescent="0.25">
      <c r="A13" s="7" t="s">
        <v>15</v>
      </c>
      <c r="B13" s="8">
        <f>COUNTIF('Прайс'!$B$4:$B$12,A13)</f>
        <v>1</v>
      </c>
      <c r="C13" s="9">
        <f>AVERAGEIF('Прайс'!$B$4:$B$12,A13,'Прайс'!$E$4:$E$12)</f>
        <v>0</v>
      </c>
      <c r="D13" s="9">
        <f>AVERAGEIF('Прайс'!$B$4:$B$12,A13,'Прайс'!$F$4:$F$12)</f>
        <v>0</v>
      </c>
      <c r="E13" s="9">
        <f>ROUND((C13+D13)/2,0)</f>
        <v>0</v>
      </c>
      <c r="F13" s="9">
        <f>D13-C13</f>
        <v>0</v>
      </c>
    </row>
    <row r="14" spans="1:6" x14ac:dyDescent="0.25">
      <c r="A14" s="7" t="s">
        <v>16</v>
      </c>
      <c r="B14" s="8">
        <f>COUNTIF('Прайс'!$B$4:$B$12,A14)</f>
        <v>3</v>
      </c>
      <c r="C14" s="9">
        <f>AVERAGEIF('Прайс'!$B$4:$B$12,A14,'Прайс'!$E$4:$E$12)</f>
        <v>5583</v>
      </c>
      <c r="D14" s="9">
        <f>AVERAGEIF('Прайс'!$B$4:$B$12,A14,'Прайс'!$F$4:$F$12)</f>
        <v>7581</v>
      </c>
      <c r="E14" s="9">
        <f>ROUND((C14+D14)/2,0)</f>
        <v>6582</v>
      </c>
      <c r="F14" s="9">
        <f>D14-C14</f>
        <v>1998</v>
      </c>
    </row>
    <row r="15" spans="1:6" x14ac:dyDescent="0.25">
      <c r="A15" s="7" t="s">
        <v>17</v>
      </c>
      <c r="B15" s="8">
        <f>COUNTIF('Прайс'!$B$4:$B$12,A15)</f>
        <v>1</v>
      </c>
      <c r="C15" s="9">
        <f>AVERAGEIF('Прайс'!$B$4:$B$12,A15,'Прайс'!$E$4:$E$12)</f>
        <v>0</v>
      </c>
      <c r="D15" s="9">
        <f>AVERAGEIF('Прайс'!$B$4:$B$12,A15,'Прайс'!$F$4:$F$12)</f>
        <v>0</v>
      </c>
      <c r="E15" s="9">
        <f>ROUND((C15+D15)/2,0)</f>
        <v>0</v>
      </c>
      <c r="F15" s="9">
        <f>D15-C15</f>
        <v>0</v>
      </c>
    </row>
    <row r="16" spans="1:6" x14ac:dyDescent="0.25">
      <c r="A16" s="7" t="s">
        <v>18</v>
      </c>
      <c r="B16" s="8">
        <f>COUNTIF('Прайс'!$B$4:$B$12,A16)</f>
        <v>0</v>
      </c>
      <c r="C16" s="9">
        <f>AVERAGEIF('Прайс'!$B$4:$B$12,A16,'Прайс'!$E$4:$E$12)</f>
        <v>0</v>
      </c>
      <c r="D16" s="9">
        <f>AVERAGEIF('Прайс'!$B$4:$B$12,A16,'Прайс'!$F$4:$F$12)</f>
        <v>0</v>
      </c>
      <c r="E16" s="9">
        <f>ROUND((C16+D16)/2,0)</f>
        <v>0</v>
      </c>
      <c r="F16" s="9">
        <f>D16-C16</f>
        <v>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{51573E85-36D6-4B09-903C-7D001687C204}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573E85-36D6-4B09-903C-7D001687C204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16</v>
      </c>
      <c r="C4" s="7" t="s">
        <v>32</v>
      </c>
      <c r="D4" s="7" t="s">
        <v>33</v>
      </c>
      <c r="E4" s="9">
        <v>3966</v>
      </c>
      <c r="F4" s="9">
        <v>7161</v>
      </c>
      <c r="G4" s="9">
        <f>ROUND((E4+F4)/2,0)</f>
        <v>5564</v>
      </c>
      <c r="H4" s="12" t="s">
        <v>34</v>
      </c>
      <c r="I4" s="9">
        <f>E4</f>
        <v>3966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12</v>
      </c>
      <c r="C5" s="7" t="s">
        <v>35</v>
      </c>
      <c r="D5" s="7" t="s">
        <v>36</v>
      </c>
      <c r="E5" s="9">
        <v>7000</v>
      </c>
      <c r="F5" s="9">
        <v>7000</v>
      </c>
      <c r="G5" s="9">
        <f>ROUND((E5+F5)/2,0)</f>
        <v>7000</v>
      </c>
      <c r="H5" s="12" t="s">
        <v>37</v>
      </c>
      <c r="I5" s="9">
        <f>E5</f>
        <v>7000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16</v>
      </c>
      <c r="C6" s="7" t="s">
        <v>38</v>
      </c>
      <c r="D6" s="7" t="s">
        <v>39</v>
      </c>
      <c r="E6" s="9">
        <v>7200</v>
      </c>
      <c r="F6" s="9">
        <v>8000</v>
      </c>
      <c r="G6" s="9">
        <f>ROUND((E6+F6)/2,0)</f>
        <v>7600</v>
      </c>
      <c r="H6" s="12" t="s">
        <v>40</v>
      </c>
      <c r="I6" s="9">
        <f>E6</f>
        <v>7200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12</v>
      </c>
      <c r="C7" s="7" t="s">
        <v>41</v>
      </c>
      <c r="D7" s="7" t="s">
        <v>42</v>
      </c>
      <c r="E7" s="15" t="s">
        <v>43</v>
      </c>
      <c r="F7" s="15" t="s">
        <v>43</v>
      </c>
      <c r="G7" s="15" t="s">
        <v>43</v>
      </c>
      <c r="H7" s="12" t="s">
        <v>44</v>
      </c>
      <c r="I7" s="15" t="s">
        <v>43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13</v>
      </c>
      <c r="C8" s="7" t="s">
        <v>45</v>
      </c>
      <c r="D8" s="7" t="s">
        <v>46</v>
      </c>
      <c r="E8" s="15" t="s">
        <v>43</v>
      </c>
      <c r="F8" s="15" t="s">
        <v>43</v>
      </c>
      <c r="G8" s="15" t="s">
        <v>43</v>
      </c>
      <c r="H8" s="12" t="s">
        <v>47</v>
      </c>
      <c r="I8" s="15" t="s">
        <v>43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14</v>
      </c>
      <c r="C9" s="7" t="s">
        <v>48</v>
      </c>
      <c r="D9" s="7" t="s">
        <v>49</v>
      </c>
      <c r="E9" s="15" t="s">
        <v>43</v>
      </c>
      <c r="F9" s="15" t="s">
        <v>43</v>
      </c>
      <c r="G9" s="15" t="s">
        <v>43</v>
      </c>
      <c r="H9" s="12" t="s">
        <v>50</v>
      </c>
      <c r="I9" s="15" t="s">
        <v>43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15</v>
      </c>
      <c r="C10" s="7" t="s">
        <v>51</v>
      </c>
      <c r="D10" s="7" t="s">
        <v>49</v>
      </c>
      <c r="E10" s="15" t="s">
        <v>43</v>
      </c>
      <c r="F10" s="15" t="s">
        <v>43</v>
      </c>
      <c r="G10" s="15" t="s">
        <v>43</v>
      </c>
      <c r="H10" s="12" t="s">
        <v>52</v>
      </c>
      <c r="I10" s="15" t="s">
        <v>43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16</v>
      </c>
      <c r="C11" s="7" t="s">
        <v>53</v>
      </c>
      <c r="D11" s="7" t="s">
        <v>54</v>
      </c>
      <c r="E11" s="15" t="s">
        <v>43</v>
      </c>
      <c r="F11" s="15" t="s">
        <v>43</v>
      </c>
      <c r="G11" s="15" t="s">
        <v>43</v>
      </c>
      <c r="H11" s="12" t="s">
        <v>47</v>
      </c>
      <c r="I11" s="15" t="s">
        <v>43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17</v>
      </c>
      <c r="C12" s="7" t="s">
        <v>55</v>
      </c>
      <c r="D12" s="7" t="s">
        <v>49</v>
      </c>
      <c r="E12" s="15" t="s">
        <v>43</v>
      </c>
      <c r="F12" s="15" t="s">
        <v>43</v>
      </c>
      <c r="G12" s="15" t="s">
        <v>43</v>
      </c>
      <c r="H12" s="12" t="s">
        <v>47</v>
      </c>
      <c r="I12" s="15" t="s">
        <v>43</v>
      </c>
      <c r="J12" s="13" t="s">
        <v>30</v>
      </c>
      <c r="K12" s="14" t="s">
        <v>31</v>
      </c>
    </row>
  </sheetData>
  <autoFilter ref="A3:K12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56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57</v>
      </c>
      <c r="B3" s="6" t="s">
        <v>58</v>
      </c>
      <c r="C3" s="6" t="s">
        <v>59</v>
      </c>
      <c r="D3" s="6" t="s">
        <v>28</v>
      </c>
    </row>
    <row r="4" spans="1:4" x14ac:dyDescent="0.25">
      <c r="A4" s="7" t="s">
        <v>60</v>
      </c>
      <c r="B4" s="12" t="s">
        <v>61</v>
      </c>
      <c r="C4" s="7" t="s">
        <v>62</v>
      </c>
      <c r="D4" s="7" t="s">
        <v>63</v>
      </c>
    </row>
    <row r="5" spans="1:4" x14ac:dyDescent="0.25">
      <c r="A5" s="7" t="s">
        <v>64</v>
      </c>
      <c r="B5" s="12" t="s">
        <v>65</v>
      </c>
      <c r="C5" s="7" t="s">
        <v>66</v>
      </c>
      <c r="D5" s="7" t="s">
        <v>67</v>
      </c>
    </row>
    <row r="6" spans="1:4" x14ac:dyDescent="0.25">
      <c r="A6" s="7" t="s">
        <v>68</v>
      </c>
      <c r="B6" s="12" t="s">
        <v>69</v>
      </c>
      <c r="C6" s="7" t="s">
        <v>70</v>
      </c>
      <c r="D6" s="7" t="s">
        <v>71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